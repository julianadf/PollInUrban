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R\PollInUrban\PollInUrban\data\"/>
    </mc:Choice>
  </mc:AlternateContent>
  <xr:revisionPtr revIDLastSave="0" documentId="13_ncr:1_{FE4A5DEE-8D9C-453F-B87A-EC46F8B935AC}" xr6:coauthVersionLast="47" xr6:coauthVersionMax="47" xr10:uidLastSave="{00000000-0000-0000-0000-000000000000}"/>
  <bookViews>
    <workbookView xWindow="-120" yWindow="-120" windowWidth="29040" windowHeight="15720" xr2:uid="{00000000-000D-0000-FFFF-FFFF00000000}"/>
  </bookViews>
  <sheets>
    <sheet name="TaxonList" sheetId="1" r:id="rId1"/>
    <sheet name="Sheet1" sheetId="2" r:id="rId2"/>
  </sheets>
  <definedNames>
    <definedName name="_xlnm._FilterDatabase" localSheetId="0" hidden="1">TaxonList!$A$1:$S$78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2" i="1"/>
</calcChain>
</file>

<file path=xl/sharedStrings.xml><?xml version="1.0" encoding="utf-8"?>
<sst xmlns="http://schemas.openxmlformats.org/spreadsheetml/2006/main" count="720" uniqueCount="411">
  <si>
    <t>Silversmygare</t>
  </si>
  <si>
    <t>NT</t>
  </si>
  <si>
    <t>Ängssmygare</t>
  </si>
  <si>
    <t>Mindre tåtelsmygare</t>
  </si>
  <si>
    <t>Skogsvisslare</t>
  </si>
  <si>
    <t>Backvisslare</t>
  </si>
  <si>
    <t>VU</t>
  </si>
  <si>
    <t>Smultronvisslare</t>
  </si>
  <si>
    <t>Violettkantad guldvinge</t>
  </si>
  <si>
    <t>Mindre guldvinge</t>
  </si>
  <si>
    <t>Vitfläckig guldvinge</t>
  </si>
  <si>
    <t>Violett blåvinge</t>
  </si>
  <si>
    <t>Rödfläckig blåvinge</t>
  </si>
  <si>
    <t>Tosteblåvinge</t>
  </si>
  <si>
    <t>Mindre blåvinge</t>
  </si>
  <si>
    <t>Ängsblåvinge</t>
  </si>
  <si>
    <t>Brun blåvinge</t>
  </si>
  <si>
    <t>EN</t>
  </si>
  <si>
    <t>Alkonblåvinge</t>
  </si>
  <si>
    <t>Svartfläckig blåvinge</t>
  </si>
  <si>
    <t>Ljungblåvinge</t>
  </si>
  <si>
    <t>Hedblåvinge</t>
  </si>
  <si>
    <t>Silverblåvinge</t>
  </si>
  <si>
    <t>Väpplingblåvinge</t>
  </si>
  <si>
    <t>Puktörneblåvinge</t>
  </si>
  <si>
    <t>Grönsnabbvinge</t>
  </si>
  <si>
    <t>Krattsnabbvinge</t>
  </si>
  <si>
    <t>Busksnabbvinge</t>
  </si>
  <si>
    <t>Almsnabbvinge</t>
  </si>
  <si>
    <t>Eksnabbvinge</t>
  </si>
  <si>
    <t>Eldsnabbvinge</t>
  </si>
  <si>
    <t>Sälgskimmerfjäril</t>
  </si>
  <si>
    <t>Silverstreckad pärlemorfjäril</t>
  </si>
  <si>
    <t>Myrpärlemorfjäril</t>
  </si>
  <si>
    <t>Prydlig pärlemorfjäril</t>
  </si>
  <si>
    <t>Brunfläckig pärlemorfjäril</t>
  </si>
  <si>
    <t>Älggräspärlemorfjäril</t>
  </si>
  <si>
    <t>Hedpärlemorfjäril</t>
  </si>
  <si>
    <t>Skogspärlemorfjäril</t>
  </si>
  <si>
    <t>Storfläckig pärlemorfjäril</t>
  </si>
  <si>
    <t>Ängspärlemorfjäril</t>
  </si>
  <si>
    <t>Tryfjäril</t>
  </si>
  <si>
    <t>Aspfjäril</t>
  </si>
  <si>
    <t>Påfågelöga</t>
  </si>
  <si>
    <t>Nässelfjäril</t>
  </si>
  <si>
    <t>Kartfjäril</t>
  </si>
  <si>
    <t>Sorgmantel</t>
  </si>
  <si>
    <t>Körsbärsfuks</t>
  </si>
  <si>
    <t>Videfuks</t>
  </si>
  <si>
    <t>Vinbärsfuks</t>
  </si>
  <si>
    <t>Amiral</t>
  </si>
  <si>
    <t>Tistelfjäril</t>
  </si>
  <si>
    <t>Skogsnätfjäril</t>
  </si>
  <si>
    <t>Ängsnätfjäril</t>
  </si>
  <si>
    <t>Sotnätfjäril</t>
  </si>
  <si>
    <t>Pärlgräsfjäril</t>
  </si>
  <si>
    <t>Kamgräsfjäril</t>
  </si>
  <si>
    <t>Starrgräsfjäril</t>
  </si>
  <si>
    <t>Vitgräsfjäril</t>
  </si>
  <si>
    <t>Svingelgräsfjäril</t>
  </si>
  <si>
    <t>Kvickgräsfjäril</t>
  </si>
  <si>
    <t>Skogsgräsfjäril</t>
  </si>
  <si>
    <t>Luktgräsfjäril</t>
  </si>
  <si>
    <t>Slåttergräsfjäril</t>
  </si>
  <si>
    <t>Sandgräsfjäril</t>
  </si>
  <si>
    <t>Makaonfjäril</t>
  </si>
  <si>
    <t>Svavelgul höfjäril</t>
  </si>
  <si>
    <t>Citronfjäril</t>
  </si>
  <si>
    <t>Skogsvitvinge</t>
  </si>
  <si>
    <t>Aurorafjäril</t>
  </si>
  <si>
    <t>Hagtornsfjäril</t>
  </si>
  <si>
    <t>Kålfjäril</t>
  </si>
  <si>
    <t>Rapsfjäril</t>
  </si>
  <si>
    <t>Rovfjäril</t>
  </si>
  <si>
    <t>Species</t>
  </si>
  <si>
    <t>RL</t>
  </si>
  <si>
    <t>Name_Swe</t>
  </si>
  <si>
    <t>Mobility</t>
  </si>
  <si>
    <t>Hostplant_1</t>
  </si>
  <si>
    <t>Hostplant_2</t>
  </si>
  <si>
    <t>Hostplant_3</t>
  </si>
  <si>
    <t>Wing_length_Bink</t>
  </si>
  <si>
    <t>Wingspan_Eliasson</t>
  </si>
  <si>
    <t>Poaceae</t>
  </si>
  <si>
    <t>Brassicaceae</t>
  </si>
  <si>
    <t>Hesperia</t>
  </si>
  <si>
    <t>comma</t>
  </si>
  <si>
    <t>Ochlodes</t>
  </si>
  <si>
    <t>sylvanus</t>
  </si>
  <si>
    <t>Thymelicus</t>
  </si>
  <si>
    <t>lineola</t>
  </si>
  <si>
    <t>Erynnis</t>
  </si>
  <si>
    <t>tages</t>
  </si>
  <si>
    <t>Pyrgus</t>
  </si>
  <si>
    <t>armoricanus</t>
  </si>
  <si>
    <t>malvae</t>
  </si>
  <si>
    <t>Lycaena</t>
  </si>
  <si>
    <t>hippothoe</t>
  </si>
  <si>
    <t>phlaeas</t>
  </si>
  <si>
    <t>virgaureae</t>
  </si>
  <si>
    <t>Agriades</t>
  </si>
  <si>
    <t>optilete</t>
  </si>
  <si>
    <t>Aricia</t>
  </si>
  <si>
    <t>agestis</t>
  </si>
  <si>
    <t>Celastrina</t>
  </si>
  <si>
    <t>argiolus</t>
  </si>
  <si>
    <t>Cupido</t>
  </si>
  <si>
    <t>minimus</t>
  </si>
  <si>
    <t>Cyaniris</t>
  </si>
  <si>
    <t>semiargus</t>
  </si>
  <si>
    <t>Eumedonia</t>
  </si>
  <si>
    <t>eumedon</t>
  </si>
  <si>
    <t>Phengaris</t>
  </si>
  <si>
    <t>alcon</t>
  </si>
  <si>
    <t>arion</t>
  </si>
  <si>
    <t>Plebejus</t>
  </si>
  <si>
    <t>argus</t>
  </si>
  <si>
    <t>idas</t>
  </si>
  <si>
    <t>Polyommatus</t>
  </si>
  <si>
    <t>amandus</t>
  </si>
  <si>
    <t>dorylas</t>
  </si>
  <si>
    <t>icarus</t>
  </si>
  <si>
    <t>Callophrys</t>
  </si>
  <si>
    <t>rubi</t>
  </si>
  <si>
    <t>Satyrium</t>
  </si>
  <si>
    <t>ilicis</t>
  </si>
  <si>
    <t>pruni</t>
  </si>
  <si>
    <t>w-album</t>
  </si>
  <si>
    <t>Favonius</t>
  </si>
  <si>
    <t>quercus</t>
  </si>
  <si>
    <t>Thecla</t>
  </si>
  <si>
    <t>betulae</t>
  </si>
  <si>
    <t>Apatura</t>
  </si>
  <si>
    <t>iris</t>
  </si>
  <si>
    <t>Argynnis</t>
  </si>
  <si>
    <t>paphia</t>
  </si>
  <si>
    <t>Boloria</t>
  </si>
  <si>
    <t>aquilonaris</t>
  </si>
  <si>
    <t>euphrosyne</t>
  </si>
  <si>
    <t>selene</t>
  </si>
  <si>
    <t>Brenthis</t>
  </si>
  <si>
    <t>ino</t>
  </si>
  <si>
    <t>Fabriciana</t>
  </si>
  <si>
    <t>niobe</t>
  </si>
  <si>
    <t>adippe</t>
  </si>
  <si>
    <t>Issoria</t>
  </si>
  <si>
    <t>lathonia</t>
  </si>
  <si>
    <t>Speyeria</t>
  </si>
  <si>
    <t>aglaja</t>
  </si>
  <si>
    <t>Limenitis</t>
  </si>
  <si>
    <t>camilla</t>
  </si>
  <si>
    <t>populi</t>
  </si>
  <si>
    <t>Aglais</t>
  </si>
  <si>
    <t>io</t>
  </si>
  <si>
    <t>urticae</t>
  </si>
  <si>
    <t>Araschnia</t>
  </si>
  <si>
    <t>levana</t>
  </si>
  <si>
    <t>Nymphalis</t>
  </si>
  <si>
    <t>antiopa</t>
  </si>
  <si>
    <t>polychloros</t>
  </si>
  <si>
    <t>xanthomelas</t>
  </si>
  <si>
    <t>Polygonia</t>
  </si>
  <si>
    <t>c-album</t>
  </si>
  <si>
    <t>Vanessa</t>
  </si>
  <si>
    <t>atalanta</t>
  </si>
  <si>
    <t>cardui</t>
  </si>
  <si>
    <t>Melitaea</t>
  </si>
  <si>
    <t>athalia</t>
  </si>
  <si>
    <t>cinxia</t>
  </si>
  <si>
    <t>diamina</t>
  </si>
  <si>
    <t>Coenonympha</t>
  </si>
  <si>
    <t>arcania</t>
  </si>
  <si>
    <t>pamphilus</t>
  </si>
  <si>
    <t>tullia</t>
  </si>
  <si>
    <t>Lasiommata</t>
  </si>
  <si>
    <t>maera</t>
  </si>
  <si>
    <t>megera</t>
  </si>
  <si>
    <t>Pararge</t>
  </si>
  <si>
    <t>aegeria</t>
  </si>
  <si>
    <t>Erebia</t>
  </si>
  <si>
    <t>ligea</t>
  </si>
  <si>
    <t>Aphantopus</t>
  </si>
  <si>
    <t>hyperantus</t>
  </si>
  <si>
    <t>Maniola</t>
  </si>
  <si>
    <t>jurtina</t>
  </si>
  <si>
    <t>Hipparchia</t>
  </si>
  <si>
    <t>semele</t>
  </si>
  <si>
    <t>Papilio</t>
  </si>
  <si>
    <t>machaon</t>
  </si>
  <si>
    <t>Colias</t>
  </si>
  <si>
    <t>palaeno</t>
  </si>
  <si>
    <t>Gonepteryx</t>
  </si>
  <si>
    <t>rhamni</t>
  </si>
  <si>
    <t>Leptidea</t>
  </si>
  <si>
    <t>sinapis</t>
  </si>
  <si>
    <t>Anthocharis</t>
  </si>
  <si>
    <t>cardamines</t>
  </si>
  <si>
    <t>Aporia</t>
  </si>
  <si>
    <t>crataegi</t>
  </si>
  <si>
    <t>Pieris</t>
  </si>
  <si>
    <t>brassicae</t>
  </si>
  <si>
    <t>napi</t>
  </si>
  <si>
    <t>rapae</t>
  </si>
  <si>
    <t>Hesperia_comma</t>
  </si>
  <si>
    <t>Ochlodes_sylvanus</t>
  </si>
  <si>
    <t>Thymelicus_lineola</t>
  </si>
  <si>
    <t>Erynnis_tages</t>
  </si>
  <si>
    <t>Pyrgus_armoricanus</t>
  </si>
  <si>
    <t>Pyrgus_malvae</t>
  </si>
  <si>
    <t>Lycaena_hippothoe</t>
  </si>
  <si>
    <t>Lycaena_phlaeas</t>
  </si>
  <si>
    <t>Lycaena_virgaureae</t>
  </si>
  <si>
    <t>Agriades_optilete</t>
  </si>
  <si>
    <t>Aricia_agestis</t>
  </si>
  <si>
    <t>Celastrina_argiolus</t>
  </si>
  <si>
    <t>Cupido_minimus</t>
  </si>
  <si>
    <t>Cyaniris_semiargus</t>
  </si>
  <si>
    <t>Eumedonia_eumedon</t>
  </si>
  <si>
    <t>Phengaris_alcon</t>
  </si>
  <si>
    <t>Phengaris_arion</t>
  </si>
  <si>
    <t>Plebejus_argus</t>
  </si>
  <si>
    <t>Plebejus_idas</t>
  </si>
  <si>
    <t>Polyommatus_amandus</t>
  </si>
  <si>
    <t>Polyommatus_dorylas</t>
  </si>
  <si>
    <t>Polyommatus_icarus</t>
  </si>
  <si>
    <t>Callophrys_rubi</t>
  </si>
  <si>
    <t>Satyrium_ilicis</t>
  </si>
  <si>
    <t>Satyrium_pruni</t>
  </si>
  <si>
    <t>Satyrium_w-album</t>
  </si>
  <si>
    <t>Favonius_quercus</t>
  </si>
  <si>
    <t>Thecla_betulae</t>
  </si>
  <si>
    <t>Apatura_iris</t>
  </si>
  <si>
    <t>Argynnis_paphia</t>
  </si>
  <si>
    <t>Boloria_aquilonaris</t>
  </si>
  <si>
    <t>Boloria_euphrosyne</t>
  </si>
  <si>
    <t>Boloria_selene</t>
  </si>
  <si>
    <t>Brenthis_ino</t>
  </si>
  <si>
    <t>Fabriciana_niobe</t>
  </si>
  <si>
    <t>Fabriciana_adippe</t>
  </si>
  <si>
    <t>Issoria_lathonia</t>
  </si>
  <si>
    <t>Speyeria_aglaja</t>
  </si>
  <si>
    <t>Limenitis_camilla</t>
  </si>
  <si>
    <t>Limenitis_populi</t>
  </si>
  <si>
    <t>Aglais_io</t>
  </si>
  <si>
    <t>Aglais_urticae</t>
  </si>
  <si>
    <t>Araschnia_levana</t>
  </si>
  <si>
    <t>Nymphalis_antiopa</t>
  </si>
  <si>
    <t>Nymphalis_polychloros</t>
  </si>
  <si>
    <t>Nymphalis_xanthomelas</t>
  </si>
  <si>
    <t>Polygonia_c-album</t>
  </si>
  <si>
    <t>Vanessa_atalanta</t>
  </si>
  <si>
    <t>Vanessa_cardui</t>
  </si>
  <si>
    <t>Melitaea_athalia</t>
  </si>
  <si>
    <t>Melitaea_cinxia</t>
  </si>
  <si>
    <t>Melitaea_diamina</t>
  </si>
  <si>
    <t>Coenonympha_arcania</t>
  </si>
  <si>
    <t>Coenonympha_pamphilus</t>
  </si>
  <si>
    <t>Coenonympha_tullia</t>
  </si>
  <si>
    <t>Lasiommata_maera</t>
  </si>
  <si>
    <t>Lasiommata_megera</t>
  </si>
  <si>
    <t>Pararge_aegeria</t>
  </si>
  <si>
    <t>Erebia_ligea</t>
  </si>
  <si>
    <t>Aphantopus_hyperantus</t>
  </si>
  <si>
    <t>Maniola_jurtina</t>
  </si>
  <si>
    <t>Hipparchia_semele</t>
  </si>
  <si>
    <t>Papilio_machaon</t>
  </si>
  <si>
    <t>Colias_palaeno</t>
  </si>
  <si>
    <t>Gonepteryx_rhamni</t>
  </si>
  <si>
    <t>Leptidea_sinapis</t>
  </si>
  <si>
    <t>Anthocharis_cardamines</t>
  </si>
  <si>
    <t>Aporia_crataegi</t>
  </si>
  <si>
    <t>Pieris_brassicae</t>
  </si>
  <si>
    <t>Pieris_napi</t>
  </si>
  <si>
    <t>Pieris_rapae</t>
  </si>
  <si>
    <t>Genus_Species</t>
  </si>
  <si>
    <t>Genus</t>
  </si>
  <si>
    <t>Lotus_corniculatus</t>
  </si>
  <si>
    <t>Filipendula_vulgaris</t>
  </si>
  <si>
    <t>Helianthemum_nummularium</t>
  </si>
  <si>
    <t>Fragaria_vesca</t>
  </si>
  <si>
    <t>Potentilla_erecta</t>
  </si>
  <si>
    <t>Rumex_acetosa</t>
  </si>
  <si>
    <t>Rumex_acetosella</t>
  </si>
  <si>
    <t>Andromeda_polifolia</t>
  </si>
  <si>
    <t>Vaccinium_oxycoccus</t>
  </si>
  <si>
    <t>Vaccinium_vitis-idaea</t>
  </si>
  <si>
    <t>Geranium_molle</t>
  </si>
  <si>
    <t>Geranium_pusillum</t>
  </si>
  <si>
    <t>Erodium_ciculatum</t>
  </si>
  <si>
    <t>Frangula_alnus</t>
  </si>
  <si>
    <t>Rhamnus_cathartica</t>
  </si>
  <si>
    <t>Cornus_sanguinea</t>
  </si>
  <si>
    <t>several_other_plant_from_different_families_mentioned</t>
  </si>
  <si>
    <t>Anthyllis_vulneraria</t>
  </si>
  <si>
    <t>Trifolium_pratense</t>
  </si>
  <si>
    <t>Geranium_sanguineum</t>
  </si>
  <si>
    <t>Geranium_sylvaticum</t>
  </si>
  <si>
    <t>Gentiana_pneumoanthe</t>
  </si>
  <si>
    <t>Thymus_serpyllum</t>
  </si>
  <si>
    <t>Calluna_vulgaris</t>
  </si>
  <si>
    <t>Vaccinium_uliginosum</t>
  </si>
  <si>
    <t>Cytisus_scoparius</t>
  </si>
  <si>
    <t>Lathyrus_pratensis</t>
  </si>
  <si>
    <t>Vicia_cracca</t>
  </si>
  <si>
    <t>Medicago_sativa</t>
  </si>
  <si>
    <t>Vaccinium_myrtillus</t>
  </si>
  <si>
    <t>Quercus_petraea</t>
  </si>
  <si>
    <t>Prunus_spinosa</t>
  </si>
  <si>
    <t>Ulmus_glabra</t>
  </si>
  <si>
    <t>Probably_all_Prunus_spp.</t>
  </si>
  <si>
    <t>Salix_spp.</t>
  </si>
  <si>
    <t>Viola_spp.</t>
  </si>
  <si>
    <t>Viola_palustris</t>
  </si>
  <si>
    <t>Viola_riviniana</t>
  </si>
  <si>
    <t>Filipendula_ulmaria</t>
  </si>
  <si>
    <t>Viola_tricolor</t>
  </si>
  <si>
    <t>Viola_arvensis</t>
  </si>
  <si>
    <t>Lonicera_periclymenum</t>
  </si>
  <si>
    <t>Populus_tremula</t>
  </si>
  <si>
    <t>Urtica_dioica</t>
  </si>
  <si>
    <t>Betula_spp.</t>
  </si>
  <si>
    <t>Prunus_spp.</t>
  </si>
  <si>
    <t>Salix_caprea</t>
  </si>
  <si>
    <t>Humulus_lupulus</t>
  </si>
  <si>
    <t>Carduus_sp.</t>
  </si>
  <si>
    <t>Cirsium_sp.</t>
  </si>
  <si>
    <t>Melampyrum_spp.</t>
  </si>
  <si>
    <t>Veronica_chamaedrys</t>
  </si>
  <si>
    <t>Plantago_lanceolata</t>
  </si>
  <si>
    <t>Veronica_spicata</t>
  </si>
  <si>
    <t>Valeriana_sambucifolia</t>
  </si>
  <si>
    <t>Valeriana_dioica</t>
  </si>
  <si>
    <t>Melica_nutans</t>
  </si>
  <si>
    <t>Carex_spp.</t>
  </si>
  <si>
    <t>Peucedanum_palustre</t>
  </si>
  <si>
    <t>Lathyrus_linifolius</t>
  </si>
  <si>
    <t>Cardamine_pratensis</t>
  </si>
  <si>
    <t>Allaria_petiolata</t>
  </si>
  <si>
    <t>Arabis_sp.</t>
  </si>
  <si>
    <t>Thlaspi_arvense</t>
  </si>
  <si>
    <t>Sorbus_aucuparia</t>
  </si>
  <si>
    <t>Crataegus_spp.</t>
  </si>
  <si>
    <t>Brassica_spp</t>
  </si>
  <si>
    <t>Various_Fabaceae</t>
  </si>
  <si>
    <t>Festuca_ovina</t>
  </si>
  <si>
    <t>Ribes_spp.</t>
  </si>
  <si>
    <t>Corylus_avellana</t>
  </si>
  <si>
    <t>Additional_Hostplant_4</t>
  </si>
  <si>
    <t>Additional_Hostplant_5</t>
  </si>
  <si>
    <t>Additional_Hostplant_6</t>
  </si>
  <si>
    <t>Comment</t>
  </si>
  <si>
    <t>Fabaceae</t>
  </si>
  <si>
    <t>Quercus_robur</t>
  </si>
  <si>
    <t>Q(Svenja): I did some changes to your butterfly traits excel file to allow automatic filtering by matching words in R, please check if you agree:</t>
  </si>
  <si>
    <t>Spelling mistakes I guess:</t>
  </si>
  <si>
    <r>
      <t> </t>
    </r>
    <r>
      <rPr>
        <sz val="11"/>
        <color rgb="FF000000"/>
        <rFont val="Calibri"/>
        <family val="2"/>
        <scheme val="minor"/>
      </rPr>
      <t>Erodium ciculatum → Erodium cicutarium</t>
    </r>
  </si>
  <si>
    <r>
      <t> </t>
    </r>
    <r>
      <rPr>
        <sz val="11"/>
        <color rgb="FF000000"/>
        <rFont val="Calibri"/>
        <family val="2"/>
        <scheme val="minor"/>
      </rPr>
      <t>Quercus robus → Quercus robur</t>
    </r>
  </si>
  <si>
    <t>Yes, my mistake(s)</t>
  </si>
  <si>
    <t>Celastrina argiolus: did not occur in any road verges, and neither did any of the hostplants.  But in ‘Additional host plants’ it says “several other plants from different families mentioned” Should we add those?</t>
  </si>
  <si>
    <t>- Not an answer to your question, but…: The reason why this species did not occur in any of the sites is probably due to its phenology (i.e. it is active mainly in early spring + late summer) This made me realize that we should probably filter on phenology as well. I suggest that we take a conservative approach and only exclude species that were extremely unlikely to be active during your survey periods (in reality I assume that this mainly means excluding a few spring-active species).</t>
  </si>
  <si>
    <t>Making things easier to read in R but maybe not 100% correct:</t>
  </si>
  <si>
    <t>Polyommatus amandus: additional host plants = ‘Various Fabaceae’ → changed to ‘Fabaceae’</t>
  </si>
  <si>
    <t>OK</t>
  </si>
  <si>
    <t>Thecla betulae: additional host plants = ‘Probably all Prunus spp.’ → changed to ‘Prunus spp.’</t>
  </si>
  <si>
    <r>
      <t> </t>
    </r>
    <r>
      <rPr>
        <sz val="11"/>
        <color rgb="FF000000"/>
        <rFont val="Calibri"/>
        <family val="2"/>
        <scheme val="minor"/>
      </rPr>
      <t>Aporia crataegi: additional host plants = ‘Other shrubby Rosaceae’ → changed to ‘Rosaceae’</t>
    </r>
  </si>
  <si>
    <t>In this case I suggest to ignore the “additional host plants” and only use the three other ones. This is because Rosaceae is a big family and A. crataegi specifically only feed on woody species. </t>
  </si>
  <si>
    <r>
      <t> </t>
    </r>
    <r>
      <rPr>
        <sz val="11"/>
        <color rgb="FF000000"/>
        <rFont val="Calibri"/>
        <family val="2"/>
        <scheme val="minor"/>
      </rPr>
      <t>Ochlodes sylvanus: additional host plants = ‘Phleum pratense etc.’ → changed to ‘Phleum pratense’</t>
    </r>
  </si>
  <si>
    <t>For both Ochlodes sylvanus and Thymelicus lineola I realize that I should have removed everything except for “Poaceae” (all other mentioned species are also included in Poaceae)</t>
  </si>
  <si>
    <t>filipendulae</t>
  </si>
  <si>
    <t>lonicerae</t>
  </si>
  <si>
    <t>viciae</t>
  </si>
  <si>
    <t>minos</t>
  </si>
  <si>
    <t>statices</t>
  </si>
  <si>
    <t>Zygaena</t>
  </si>
  <si>
    <t>Adscita</t>
  </si>
  <si>
    <t>Trifolium_medium</t>
  </si>
  <si>
    <t>Lathyrus_sp.</t>
  </si>
  <si>
    <t>Trait data from Artfakta https://artfakta.se/</t>
  </si>
  <si>
    <t>Pimpinella_saxifraga</t>
  </si>
  <si>
    <t>Lathyrus_pratense</t>
  </si>
  <si>
    <t>Vicia_sp.</t>
  </si>
  <si>
    <t>Trifolium_sp.</t>
  </si>
  <si>
    <t>Phenology</t>
  </si>
  <si>
    <t>July</t>
  </si>
  <si>
    <t>June-July</t>
  </si>
  <si>
    <t>May-early June</t>
  </si>
  <si>
    <t>May-early June + August</t>
  </si>
  <si>
    <t>August</t>
  </si>
  <si>
    <t>July-August</t>
  </si>
  <si>
    <t>May</t>
  </si>
  <si>
    <t>June</t>
  </si>
  <si>
    <t>May-August</t>
  </si>
  <si>
    <t>June + August</t>
  </si>
  <si>
    <t>April-August</t>
  </si>
  <si>
    <t>April-May + August</t>
  </si>
  <si>
    <t>April-May + July-August</t>
  </si>
  <si>
    <t>May + August</t>
  </si>
  <si>
    <t>Overwintering</t>
  </si>
  <si>
    <t>Pupa</t>
  </si>
  <si>
    <t>Larva</t>
  </si>
  <si>
    <t>Egg</t>
  </si>
  <si>
    <t>Adult</t>
  </si>
  <si>
    <t>Migrant</t>
  </si>
  <si>
    <t>Egg + Larva</t>
  </si>
  <si>
    <t>Ängsvitvinge</t>
  </si>
  <si>
    <t>Leptidea_juvernica</t>
  </si>
  <si>
    <t>juvernica</t>
  </si>
  <si>
    <t>Oligo</t>
  </si>
  <si>
    <t>Poly</t>
  </si>
  <si>
    <t>Host_spec_genus</t>
  </si>
  <si>
    <t>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</si>
</sst>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Times New Roman"/>
      <family val="1"/>
    </font>
    <font>
      <sz val="11"/>
      <color indexed="8"/>
      <name val="Times New Roman"/>
      <family val="1"/>
    </font>
    <font>
      <sz val="8"/>
      <name val="Calibri"/>
      <family val="2"/>
      <scheme val="minor"/>
    </font>
    <font>
      <sz val="11"/>
      <color rgb="FF000000"/>
      <name val="Calibri"/>
      <family val="2"/>
      <scheme val="minor"/>
    </font>
    <font>
      <sz val="6.95"/>
      <color rgb="FF000000"/>
      <name val="Calibri"/>
      <family val="2"/>
      <scheme val="minor"/>
    </font>
    <font>
      <sz val="11"/>
      <color rgb="FF2E75B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0" fontId="16" fillId="0" borderId="0" xfId="0" applyFont="1"/>
    <xf numFmtId="0" fontId="19" fillId="0" borderId="0" xfId="0" applyFont="1" applyAlignment="1">
      <alignment horizontal="center" vertical="center" wrapText="1"/>
    </xf>
    <xf numFmtId="0" fontId="16" fillId="0" borderId="0" xfId="0" applyFont="1" applyAlignment="1">
      <alignment horizontal="center"/>
    </xf>
    <xf numFmtId="0" fontId="0" fillId="0" borderId="0" xfId="0" applyAlignment="1">
      <alignment horizontal="center"/>
    </xf>
    <xf numFmtId="0" fontId="18" fillId="0" borderId="0" xfId="0" applyFont="1" applyAlignment="1">
      <alignment horizontal="center"/>
    </xf>
    <xf numFmtId="0" fontId="21" fillId="0" borderId="0" xfId="0" applyFont="1" applyAlignment="1">
      <alignment vertical="center"/>
    </xf>
    <xf numFmtId="0" fontId="0" fillId="0" borderId="0" xfId="0" applyAlignment="1">
      <alignment horizontal="left" vertical="center" indent="1"/>
    </xf>
    <xf numFmtId="0" fontId="21" fillId="0" borderId="0" xfId="0" applyFont="1" applyAlignment="1">
      <alignment horizontal="left" vertical="center" indent="1"/>
    </xf>
    <xf numFmtId="0" fontId="22" fillId="0" borderId="0" xfId="0" applyFont="1" applyAlignment="1">
      <alignment horizontal="left" vertical="center" indent="2"/>
    </xf>
    <xf numFmtId="0" fontId="23" fillId="0" borderId="0" xfId="0" applyFont="1" applyAlignment="1">
      <alignment horizontal="left" vertical="center" indent="1"/>
    </xf>
    <xf numFmtId="0" fontId="23" fillId="0" borderId="0" xfId="0" applyFont="1" applyAlignment="1">
      <alignment vertical="center"/>
    </xf>
    <xf numFmtId="0" fontId="21" fillId="0" borderId="0" xfId="0" applyFont="1" applyAlignment="1">
      <alignment horizontal="left" vertical="center" indent="2"/>
    </xf>
    <xf numFmtId="0" fontId="23" fillId="0" borderId="0" xfId="0" applyFont="1" applyAlignment="1">
      <alignment horizontal="left" vertical="center" indent="2"/>
    </xf>
    <xf numFmtId="0" fontId="22" fillId="0" borderId="0" xfId="0" applyFont="1" applyAlignment="1">
      <alignment horizontal="left" vertical="center" indent="1"/>
    </xf>
    <xf numFmtId="0" fontId="0" fillId="33" borderId="0" xfId="0" applyFill="1" applyAlignment="1">
      <alignment horizontal="center"/>
    </xf>
    <xf numFmtId="0" fontId="16"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8"/>
  <sheetViews>
    <sheetView tabSelected="1" topLeftCell="C1" workbookViewId="0">
      <selection activeCell="G10" sqref="G10"/>
    </sheetView>
  </sheetViews>
  <sheetFormatPr defaultRowHeight="15" x14ac:dyDescent="0.25"/>
  <cols>
    <col min="1" max="1" width="19.140625" customWidth="1"/>
    <col min="2" max="5" width="20" customWidth="1"/>
    <col min="6" max="6" width="8.85546875" style="4"/>
    <col min="7" max="7" width="12.85546875" style="4" customWidth="1"/>
    <col min="8" max="12" width="13.28515625" style="4" customWidth="1"/>
    <col min="13" max="16" width="26.85546875" customWidth="1"/>
  </cols>
  <sheetData>
    <row r="1" spans="1:19" s="1" customFormat="1" x14ac:dyDescent="0.25">
      <c r="A1" s="1" t="s">
        <v>76</v>
      </c>
      <c r="B1" s="1" t="s">
        <v>274</v>
      </c>
      <c r="C1" s="1" t="s">
        <v>275</v>
      </c>
      <c r="D1" s="1" t="s">
        <v>410</v>
      </c>
      <c r="E1" s="1" t="s">
        <v>74</v>
      </c>
      <c r="F1" s="3" t="s">
        <v>75</v>
      </c>
      <c r="G1" s="3" t="s">
        <v>81</v>
      </c>
      <c r="H1" s="3" t="s">
        <v>77</v>
      </c>
      <c r="I1" s="3" t="s">
        <v>82</v>
      </c>
      <c r="J1" s="3" t="s">
        <v>382</v>
      </c>
      <c r="K1" s="3" t="s">
        <v>397</v>
      </c>
      <c r="L1" s="16" t="s">
        <v>409</v>
      </c>
      <c r="M1" s="1" t="s">
        <v>78</v>
      </c>
      <c r="N1" s="1" t="s">
        <v>79</v>
      </c>
      <c r="O1" s="1" t="s">
        <v>80</v>
      </c>
      <c r="P1" s="1" t="s">
        <v>347</v>
      </c>
      <c r="Q1" s="1" t="s">
        <v>348</v>
      </c>
      <c r="R1" s="1" t="s">
        <v>349</v>
      </c>
      <c r="S1" s="1" t="s">
        <v>350</v>
      </c>
    </row>
    <row r="2" spans="1:19" x14ac:dyDescent="0.25">
      <c r="A2" t="s">
        <v>0</v>
      </c>
      <c r="B2" t="s">
        <v>203</v>
      </c>
      <c r="C2" t="s">
        <v>85</v>
      </c>
      <c r="D2" t="s">
        <v>86</v>
      </c>
      <c r="E2" t="str">
        <f>C2&amp;" "&amp;D2</f>
        <v>Hesperia comma</v>
      </c>
      <c r="F2" s="4" t="s">
        <v>1</v>
      </c>
      <c r="G2" s="5">
        <v>14</v>
      </c>
      <c r="H2" s="2">
        <v>3</v>
      </c>
      <c r="I2" s="2">
        <v>29</v>
      </c>
      <c r="J2" s="2" t="s">
        <v>387</v>
      </c>
      <c r="K2" s="2" t="s">
        <v>399</v>
      </c>
      <c r="L2" s="2" t="s">
        <v>407</v>
      </c>
      <c r="M2" t="s">
        <v>344</v>
      </c>
    </row>
    <row r="3" spans="1:19" x14ac:dyDescent="0.25">
      <c r="A3" t="s">
        <v>2</v>
      </c>
      <c r="B3" t="s">
        <v>204</v>
      </c>
      <c r="C3" t="s">
        <v>87</v>
      </c>
      <c r="D3" t="s">
        <v>88</v>
      </c>
      <c r="E3" t="str">
        <f t="shared" ref="E3:E66" si="0">C3&amp;" "&amp;D3</f>
        <v>Ochlodes sylvanus</v>
      </c>
      <c r="G3" s="5">
        <v>14</v>
      </c>
      <c r="H3" s="2">
        <v>4</v>
      </c>
      <c r="I3" s="2">
        <v>30</v>
      </c>
      <c r="J3" s="2" t="s">
        <v>384</v>
      </c>
      <c r="K3" s="2" t="s">
        <v>399</v>
      </c>
      <c r="L3" s="2" t="s">
        <v>408</v>
      </c>
      <c r="M3" t="s">
        <v>83</v>
      </c>
    </row>
    <row r="4" spans="1:19" x14ac:dyDescent="0.25">
      <c r="A4" t="s">
        <v>3</v>
      </c>
      <c r="B4" t="s">
        <v>205</v>
      </c>
      <c r="C4" t="s">
        <v>89</v>
      </c>
      <c r="D4" t="s">
        <v>90</v>
      </c>
      <c r="E4" t="str">
        <f t="shared" si="0"/>
        <v>Thymelicus lineola</v>
      </c>
      <c r="G4" s="5">
        <v>13</v>
      </c>
      <c r="H4" s="2">
        <v>4</v>
      </c>
      <c r="I4" s="2">
        <v>25</v>
      </c>
      <c r="J4" s="2" t="s">
        <v>388</v>
      </c>
      <c r="K4" s="2" t="s">
        <v>399</v>
      </c>
      <c r="L4" s="2" t="s">
        <v>407</v>
      </c>
      <c r="M4" t="s">
        <v>83</v>
      </c>
    </row>
    <row r="5" spans="1:19" ht="30" x14ac:dyDescent="0.25">
      <c r="A5" t="s">
        <v>4</v>
      </c>
      <c r="B5" t="s">
        <v>206</v>
      </c>
      <c r="C5" t="s">
        <v>91</v>
      </c>
      <c r="D5" t="s">
        <v>92</v>
      </c>
      <c r="E5" t="str">
        <f t="shared" si="0"/>
        <v>Erynnis tages</v>
      </c>
      <c r="G5" s="5">
        <v>13</v>
      </c>
      <c r="H5" s="2">
        <v>3</v>
      </c>
      <c r="I5" s="2">
        <v>28</v>
      </c>
      <c r="J5" s="2" t="s">
        <v>385</v>
      </c>
      <c r="K5" s="2" t="s">
        <v>399</v>
      </c>
      <c r="L5" s="2" t="s">
        <v>407</v>
      </c>
      <c r="M5" t="s">
        <v>276</v>
      </c>
    </row>
    <row r="6" spans="1:19" x14ac:dyDescent="0.25">
      <c r="A6" t="s">
        <v>5</v>
      </c>
      <c r="B6" t="s">
        <v>207</v>
      </c>
      <c r="C6" t="s">
        <v>93</v>
      </c>
      <c r="D6" t="s">
        <v>94</v>
      </c>
      <c r="E6" t="str">
        <f t="shared" si="0"/>
        <v>Pyrgus armoricanus</v>
      </c>
      <c r="F6" s="4" t="s">
        <v>6</v>
      </c>
      <c r="G6" s="4">
        <v>13</v>
      </c>
      <c r="H6" s="4">
        <v>3</v>
      </c>
      <c r="I6" s="4">
        <v>24</v>
      </c>
      <c r="J6" s="4" t="s">
        <v>386</v>
      </c>
      <c r="K6" s="4" t="s">
        <v>399</v>
      </c>
      <c r="L6" s="4" t="s">
        <v>408</v>
      </c>
      <c r="M6" t="s">
        <v>277</v>
      </c>
      <c r="N6" t="s">
        <v>278</v>
      </c>
    </row>
    <row r="7" spans="1:19" ht="30" x14ac:dyDescent="0.25">
      <c r="A7" t="s">
        <v>7</v>
      </c>
      <c r="B7" t="s">
        <v>208</v>
      </c>
      <c r="C7" t="s">
        <v>93</v>
      </c>
      <c r="D7" t="s">
        <v>95</v>
      </c>
      <c r="E7" t="str">
        <f t="shared" si="0"/>
        <v>Pyrgus malvae</v>
      </c>
      <c r="G7" s="5">
        <v>11</v>
      </c>
      <c r="H7" s="2">
        <v>3</v>
      </c>
      <c r="I7" s="2">
        <v>22</v>
      </c>
      <c r="J7" s="2" t="s">
        <v>385</v>
      </c>
      <c r="K7" s="2" t="s">
        <v>398</v>
      </c>
      <c r="L7" s="2" t="s">
        <v>408</v>
      </c>
      <c r="M7" t="s">
        <v>279</v>
      </c>
      <c r="N7" t="s">
        <v>280</v>
      </c>
    </row>
    <row r="8" spans="1:19" x14ac:dyDescent="0.25">
      <c r="A8" t="s">
        <v>8</v>
      </c>
      <c r="B8" t="s">
        <v>209</v>
      </c>
      <c r="C8" t="s">
        <v>96</v>
      </c>
      <c r="D8" t="s">
        <v>97</v>
      </c>
      <c r="E8" t="str">
        <f t="shared" si="0"/>
        <v>Lycaena hippothoe</v>
      </c>
      <c r="F8" s="4" t="s">
        <v>1</v>
      </c>
      <c r="G8" s="5">
        <v>17</v>
      </c>
      <c r="H8" s="2">
        <v>3</v>
      </c>
      <c r="I8" s="2">
        <v>33</v>
      </c>
      <c r="J8" s="2" t="s">
        <v>384</v>
      </c>
      <c r="K8" s="2" t="s">
        <v>399</v>
      </c>
      <c r="L8" s="2" t="s">
        <v>407</v>
      </c>
      <c r="M8" t="s">
        <v>281</v>
      </c>
    </row>
    <row r="9" spans="1:19" x14ac:dyDescent="0.25">
      <c r="A9" t="s">
        <v>9</v>
      </c>
      <c r="B9" t="s">
        <v>210</v>
      </c>
      <c r="C9" t="s">
        <v>96</v>
      </c>
      <c r="D9" t="s">
        <v>98</v>
      </c>
      <c r="E9" t="str">
        <f t="shared" si="0"/>
        <v>Lycaena phlaeas</v>
      </c>
      <c r="G9" s="5">
        <v>13</v>
      </c>
      <c r="H9" s="2">
        <v>4</v>
      </c>
      <c r="I9" s="2">
        <v>26</v>
      </c>
      <c r="J9" s="4" t="s">
        <v>386</v>
      </c>
      <c r="K9" s="4" t="s">
        <v>399</v>
      </c>
      <c r="L9" s="4" t="s">
        <v>407</v>
      </c>
      <c r="M9" t="s">
        <v>282</v>
      </c>
      <c r="N9" t="s">
        <v>281</v>
      </c>
    </row>
    <row r="10" spans="1:19" x14ac:dyDescent="0.25">
      <c r="A10" t="s">
        <v>10</v>
      </c>
      <c r="B10" t="s">
        <v>211</v>
      </c>
      <c r="C10" t="s">
        <v>96</v>
      </c>
      <c r="D10" t="s">
        <v>99</v>
      </c>
      <c r="E10" t="str">
        <f t="shared" si="0"/>
        <v>Lycaena virgaureae</v>
      </c>
      <c r="G10" s="5">
        <v>16</v>
      </c>
      <c r="H10" s="2">
        <v>4</v>
      </c>
      <c r="I10" s="2">
        <v>31</v>
      </c>
      <c r="J10" s="2" t="s">
        <v>384</v>
      </c>
      <c r="K10" s="2" t="s">
        <v>399</v>
      </c>
      <c r="L10" s="2" t="s">
        <v>407</v>
      </c>
      <c r="M10" t="s">
        <v>281</v>
      </c>
      <c r="N10" t="s">
        <v>282</v>
      </c>
    </row>
    <row r="11" spans="1:19" x14ac:dyDescent="0.25">
      <c r="A11" t="s">
        <v>11</v>
      </c>
      <c r="B11" t="s">
        <v>212</v>
      </c>
      <c r="C11" t="s">
        <v>100</v>
      </c>
      <c r="D11" t="s">
        <v>101</v>
      </c>
      <c r="E11" t="str">
        <f t="shared" si="0"/>
        <v>Agriades optilete</v>
      </c>
      <c r="G11" s="5">
        <v>14</v>
      </c>
      <c r="H11" s="2">
        <v>3</v>
      </c>
      <c r="I11" s="2">
        <v>26</v>
      </c>
      <c r="J11" s="2" t="s">
        <v>383</v>
      </c>
      <c r="K11" s="2" t="s">
        <v>399</v>
      </c>
      <c r="L11" s="2" t="s">
        <v>408</v>
      </c>
      <c r="M11" t="s">
        <v>283</v>
      </c>
      <c r="N11" t="s">
        <v>284</v>
      </c>
      <c r="O11" t="s">
        <v>285</v>
      </c>
    </row>
    <row r="12" spans="1:19" x14ac:dyDescent="0.25">
      <c r="A12" t="s">
        <v>12</v>
      </c>
      <c r="B12" t="s">
        <v>213</v>
      </c>
      <c r="C12" t="s">
        <v>102</v>
      </c>
      <c r="D12" t="s">
        <v>103</v>
      </c>
      <c r="E12" t="str">
        <f t="shared" si="0"/>
        <v>Aricia agestis</v>
      </c>
      <c r="G12" s="5">
        <v>13</v>
      </c>
      <c r="H12" s="2">
        <v>4</v>
      </c>
      <c r="I12" s="2">
        <v>26</v>
      </c>
      <c r="J12" s="4" t="s">
        <v>386</v>
      </c>
      <c r="K12" s="4" t="s">
        <v>399</v>
      </c>
      <c r="L12" s="4" t="s">
        <v>408</v>
      </c>
      <c r="M12" t="s">
        <v>286</v>
      </c>
      <c r="N12" t="s">
        <v>287</v>
      </c>
      <c r="O12" t="s">
        <v>288</v>
      </c>
    </row>
    <row r="13" spans="1:19" x14ac:dyDescent="0.25">
      <c r="A13" t="s">
        <v>13</v>
      </c>
      <c r="B13" t="s">
        <v>214</v>
      </c>
      <c r="C13" t="s">
        <v>104</v>
      </c>
      <c r="D13" t="s">
        <v>105</v>
      </c>
      <c r="E13" t="str">
        <f t="shared" si="0"/>
        <v>Celastrina argiolus</v>
      </c>
      <c r="G13" s="5">
        <v>14</v>
      </c>
      <c r="H13" s="2">
        <v>5</v>
      </c>
      <c r="I13" s="2">
        <v>28</v>
      </c>
      <c r="J13" s="4" t="s">
        <v>386</v>
      </c>
      <c r="K13" s="4" t="s">
        <v>398</v>
      </c>
      <c r="L13" s="4" t="s">
        <v>408</v>
      </c>
      <c r="M13" t="s">
        <v>289</v>
      </c>
      <c r="N13" t="s">
        <v>290</v>
      </c>
      <c r="O13" t="s">
        <v>291</v>
      </c>
      <c r="P13" t="s">
        <v>292</v>
      </c>
    </row>
    <row r="14" spans="1:19" x14ac:dyDescent="0.25">
      <c r="A14" t="s">
        <v>14</v>
      </c>
      <c r="B14" t="s">
        <v>215</v>
      </c>
      <c r="C14" t="s">
        <v>106</v>
      </c>
      <c r="D14" t="s">
        <v>107</v>
      </c>
      <c r="E14" t="str">
        <f t="shared" si="0"/>
        <v>Cupido minimus</v>
      </c>
      <c r="F14" s="4" t="s">
        <v>1</v>
      </c>
      <c r="G14" s="5">
        <v>11</v>
      </c>
      <c r="H14" s="2">
        <v>2</v>
      </c>
      <c r="I14" s="2">
        <v>22</v>
      </c>
      <c r="J14" s="2" t="s">
        <v>390</v>
      </c>
      <c r="K14" s="2" t="s">
        <v>399</v>
      </c>
      <c r="L14" s="2" t="s">
        <v>407</v>
      </c>
      <c r="M14" t="s">
        <v>293</v>
      </c>
    </row>
    <row r="15" spans="1:19" x14ac:dyDescent="0.25">
      <c r="A15" t="s">
        <v>15</v>
      </c>
      <c r="B15" t="s">
        <v>216</v>
      </c>
      <c r="C15" t="s">
        <v>108</v>
      </c>
      <c r="D15" t="s">
        <v>109</v>
      </c>
      <c r="E15" t="str">
        <f t="shared" si="0"/>
        <v>Cyaniris semiargus</v>
      </c>
      <c r="G15" s="5">
        <v>15</v>
      </c>
      <c r="H15" s="2">
        <v>4</v>
      </c>
      <c r="I15" s="2">
        <v>28</v>
      </c>
      <c r="J15" s="2" t="s">
        <v>384</v>
      </c>
      <c r="K15" s="2" t="s">
        <v>399</v>
      </c>
      <c r="L15" s="2" t="s">
        <v>407</v>
      </c>
      <c r="M15" t="s">
        <v>294</v>
      </c>
    </row>
    <row r="16" spans="1:19" x14ac:dyDescent="0.25">
      <c r="A16" t="s">
        <v>16</v>
      </c>
      <c r="B16" t="s">
        <v>217</v>
      </c>
      <c r="C16" t="s">
        <v>110</v>
      </c>
      <c r="D16" t="s">
        <v>111</v>
      </c>
      <c r="E16" t="str">
        <f t="shared" si="0"/>
        <v>Eumedonia eumedon</v>
      </c>
      <c r="G16" s="5">
        <v>15</v>
      </c>
      <c r="H16" s="2">
        <v>3</v>
      </c>
      <c r="I16" s="2">
        <v>26</v>
      </c>
      <c r="J16" s="2" t="s">
        <v>384</v>
      </c>
      <c r="K16" s="2" t="s">
        <v>399</v>
      </c>
      <c r="L16" s="2" t="s">
        <v>407</v>
      </c>
      <c r="M16" t="s">
        <v>295</v>
      </c>
      <c r="N16" t="s">
        <v>296</v>
      </c>
    </row>
    <row r="17" spans="1:19" x14ac:dyDescent="0.25">
      <c r="A17" t="s">
        <v>18</v>
      </c>
      <c r="B17" t="s">
        <v>218</v>
      </c>
      <c r="C17" t="s">
        <v>112</v>
      </c>
      <c r="D17" t="s">
        <v>113</v>
      </c>
      <c r="E17" t="str">
        <f t="shared" si="0"/>
        <v>Phengaris alcon</v>
      </c>
      <c r="F17" s="4" t="s">
        <v>17</v>
      </c>
      <c r="G17" s="5">
        <v>17</v>
      </c>
      <c r="H17" s="2">
        <v>2</v>
      </c>
      <c r="I17" s="2">
        <v>32</v>
      </c>
      <c r="J17" s="2" t="s">
        <v>383</v>
      </c>
      <c r="K17" s="2" t="s">
        <v>399</v>
      </c>
      <c r="L17" s="2" t="s">
        <v>407</v>
      </c>
      <c r="M17" t="s">
        <v>297</v>
      </c>
    </row>
    <row r="18" spans="1:19" x14ac:dyDescent="0.25">
      <c r="A18" t="s">
        <v>19</v>
      </c>
      <c r="B18" t="s">
        <v>219</v>
      </c>
      <c r="C18" t="s">
        <v>112</v>
      </c>
      <c r="D18" t="s">
        <v>114</v>
      </c>
      <c r="E18" t="str">
        <f t="shared" si="0"/>
        <v>Phengaris arion</v>
      </c>
      <c r="F18" s="4" t="s">
        <v>1</v>
      </c>
      <c r="G18" s="4">
        <v>20</v>
      </c>
      <c r="H18" s="4">
        <v>3</v>
      </c>
      <c r="I18" s="4">
        <v>38</v>
      </c>
      <c r="J18" s="2" t="s">
        <v>383</v>
      </c>
      <c r="K18" s="2" t="s">
        <v>399</v>
      </c>
      <c r="L18" s="2" t="s">
        <v>407</v>
      </c>
      <c r="M18" t="s">
        <v>298</v>
      </c>
    </row>
    <row r="19" spans="1:19" x14ac:dyDescent="0.25">
      <c r="A19" t="s">
        <v>20</v>
      </c>
      <c r="B19" t="s">
        <v>220</v>
      </c>
      <c r="C19" t="s">
        <v>115</v>
      </c>
      <c r="D19" t="s">
        <v>116</v>
      </c>
      <c r="E19" t="str">
        <f t="shared" si="0"/>
        <v>Plebejus argus</v>
      </c>
      <c r="G19" s="5">
        <v>14</v>
      </c>
      <c r="H19" s="2">
        <v>3</v>
      </c>
      <c r="I19" s="2">
        <v>25</v>
      </c>
      <c r="J19" s="2" t="s">
        <v>383</v>
      </c>
      <c r="K19" s="2" t="s">
        <v>400</v>
      </c>
      <c r="L19" s="2" t="s">
        <v>408</v>
      </c>
      <c r="M19" t="s">
        <v>299</v>
      </c>
      <c r="N19" t="s">
        <v>300</v>
      </c>
    </row>
    <row r="20" spans="1:19" x14ac:dyDescent="0.25">
      <c r="A20" t="s">
        <v>21</v>
      </c>
      <c r="B20" t="s">
        <v>221</v>
      </c>
      <c r="C20" t="s">
        <v>115</v>
      </c>
      <c r="D20" t="s">
        <v>117</v>
      </c>
      <c r="E20" t="str">
        <f t="shared" si="0"/>
        <v>Plebejus idas</v>
      </c>
      <c r="G20" s="5">
        <v>14</v>
      </c>
      <c r="H20" s="2">
        <v>3</v>
      </c>
      <c r="I20" s="2">
        <v>24</v>
      </c>
      <c r="J20" s="2" t="s">
        <v>383</v>
      </c>
      <c r="K20" s="2" t="s">
        <v>400</v>
      </c>
      <c r="L20" s="2" t="s">
        <v>408</v>
      </c>
      <c r="M20" t="s">
        <v>299</v>
      </c>
      <c r="N20" t="s">
        <v>300</v>
      </c>
      <c r="O20" t="s">
        <v>301</v>
      </c>
    </row>
    <row r="21" spans="1:19" x14ac:dyDescent="0.25">
      <c r="A21" t="s">
        <v>22</v>
      </c>
      <c r="B21" t="s">
        <v>222</v>
      </c>
      <c r="C21" t="s">
        <v>118</v>
      </c>
      <c r="D21" t="s">
        <v>119</v>
      </c>
      <c r="E21" t="str">
        <f t="shared" si="0"/>
        <v>Polyommatus amandus</v>
      </c>
      <c r="G21" s="5">
        <v>16</v>
      </c>
      <c r="H21" s="2">
        <v>4</v>
      </c>
      <c r="I21" s="2">
        <v>33</v>
      </c>
      <c r="J21" s="2" t="s">
        <v>384</v>
      </c>
      <c r="K21" s="2" t="s">
        <v>399</v>
      </c>
      <c r="L21" s="2" t="s">
        <v>408</v>
      </c>
      <c r="M21" t="s">
        <v>302</v>
      </c>
      <c r="N21" t="s">
        <v>303</v>
      </c>
      <c r="O21" t="s">
        <v>304</v>
      </c>
      <c r="P21" t="s">
        <v>351</v>
      </c>
      <c r="S21" t="s">
        <v>343</v>
      </c>
    </row>
    <row r="22" spans="1:19" x14ac:dyDescent="0.25">
      <c r="A22" t="s">
        <v>23</v>
      </c>
      <c r="B22" t="s">
        <v>223</v>
      </c>
      <c r="C22" t="s">
        <v>118</v>
      </c>
      <c r="D22" t="s">
        <v>120</v>
      </c>
      <c r="E22" t="str">
        <f t="shared" si="0"/>
        <v>Polyommatus dorylas</v>
      </c>
      <c r="F22" s="4" t="s">
        <v>1</v>
      </c>
      <c r="G22" s="5">
        <v>15</v>
      </c>
      <c r="H22" s="2">
        <v>4</v>
      </c>
      <c r="I22" s="2">
        <v>32</v>
      </c>
      <c r="J22" s="2" t="s">
        <v>383</v>
      </c>
      <c r="K22" s="2" t="s">
        <v>399</v>
      </c>
      <c r="L22" s="2" t="s">
        <v>407</v>
      </c>
      <c r="M22" t="s">
        <v>293</v>
      </c>
    </row>
    <row r="23" spans="1:19" x14ac:dyDescent="0.25">
      <c r="A23" t="s">
        <v>24</v>
      </c>
      <c r="B23" t="s">
        <v>224</v>
      </c>
      <c r="C23" t="s">
        <v>118</v>
      </c>
      <c r="D23" t="s">
        <v>121</v>
      </c>
      <c r="E23" t="str">
        <f t="shared" si="0"/>
        <v>Polyommatus icarus</v>
      </c>
      <c r="G23" s="5">
        <v>15</v>
      </c>
      <c r="H23" s="2">
        <v>4</v>
      </c>
      <c r="I23" s="2">
        <v>25</v>
      </c>
      <c r="J23" s="4" t="s">
        <v>391</v>
      </c>
      <c r="K23" s="4" t="s">
        <v>399</v>
      </c>
      <c r="L23" s="4" t="s">
        <v>407</v>
      </c>
      <c r="M23" t="s">
        <v>276</v>
      </c>
    </row>
    <row r="24" spans="1:19" x14ac:dyDescent="0.25">
      <c r="A24" t="s">
        <v>25</v>
      </c>
      <c r="B24" t="s">
        <v>225</v>
      </c>
      <c r="C24" t="s">
        <v>122</v>
      </c>
      <c r="D24" t="s">
        <v>123</v>
      </c>
      <c r="E24" t="str">
        <f t="shared" si="0"/>
        <v>Callophrys rubi</v>
      </c>
      <c r="G24" s="5">
        <v>14</v>
      </c>
      <c r="H24" s="2">
        <v>4</v>
      </c>
      <c r="I24" s="2">
        <v>24</v>
      </c>
      <c r="J24" s="2" t="s">
        <v>389</v>
      </c>
      <c r="K24" s="2" t="s">
        <v>398</v>
      </c>
      <c r="L24" s="2" t="s">
        <v>407</v>
      </c>
      <c r="M24" t="s">
        <v>305</v>
      </c>
      <c r="N24" t="s">
        <v>300</v>
      </c>
      <c r="O24" t="s">
        <v>285</v>
      </c>
    </row>
    <row r="25" spans="1:19" x14ac:dyDescent="0.25">
      <c r="A25" t="s">
        <v>26</v>
      </c>
      <c r="B25" t="s">
        <v>226</v>
      </c>
      <c r="C25" t="s">
        <v>124</v>
      </c>
      <c r="D25" t="s">
        <v>125</v>
      </c>
      <c r="E25" t="str">
        <f t="shared" si="0"/>
        <v>Satyrium ilicis</v>
      </c>
      <c r="F25" s="4" t="s">
        <v>1</v>
      </c>
      <c r="G25" s="5">
        <v>16</v>
      </c>
      <c r="H25" s="2">
        <v>3</v>
      </c>
      <c r="I25" s="2">
        <v>31</v>
      </c>
      <c r="J25" s="2" t="s">
        <v>383</v>
      </c>
      <c r="K25" s="2" t="s">
        <v>400</v>
      </c>
      <c r="L25" s="2" t="s">
        <v>407</v>
      </c>
      <c r="M25" t="s">
        <v>352</v>
      </c>
      <c r="N25" t="s">
        <v>306</v>
      </c>
    </row>
    <row r="26" spans="1:19" x14ac:dyDescent="0.25">
      <c r="A26" t="s">
        <v>27</v>
      </c>
      <c r="B26" t="s">
        <v>227</v>
      </c>
      <c r="C26" t="s">
        <v>124</v>
      </c>
      <c r="D26" t="s">
        <v>126</v>
      </c>
      <c r="E26" t="str">
        <f t="shared" si="0"/>
        <v>Satyrium pruni</v>
      </c>
      <c r="G26" s="5">
        <v>14</v>
      </c>
      <c r="H26" s="2">
        <v>1</v>
      </c>
      <c r="I26" s="2">
        <v>33</v>
      </c>
      <c r="J26" s="2" t="s">
        <v>384</v>
      </c>
      <c r="K26" s="2" t="s">
        <v>400</v>
      </c>
      <c r="L26" s="2" t="s">
        <v>407</v>
      </c>
      <c r="M26" t="s">
        <v>307</v>
      </c>
    </row>
    <row r="27" spans="1:19" x14ac:dyDescent="0.25">
      <c r="A27" t="s">
        <v>28</v>
      </c>
      <c r="B27" t="s">
        <v>228</v>
      </c>
      <c r="C27" t="s">
        <v>124</v>
      </c>
      <c r="D27" t="s">
        <v>127</v>
      </c>
      <c r="E27" t="str">
        <f t="shared" si="0"/>
        <v>Satyrium w-album</v>
      </c>
      <c r="F27" s="4" t="s">
        <v>1</v>
      </c>
      <c r="G27" s="5">
        <v>16</v>
      </c>
      <c r="H27" s="2">
        <v>1</v>
      </c>
      <c r="I27" s="2">
        <v>29</v>
      </c>
      <c r="J27" s="2" t="s">
        <v>383</v>
      </c>
      <c r="K27" s="2" t="s">
        <v>400</v>
      </c>
      <c r="L27" s="2" t="s">
        <v>407</v>
      </c>
      <c r="M27" t="s">
        <v>308</v>
      </c>
    </row>
    <row r="28" spans="1:19" x14ac:dyDescent="0.25">
      <c r="A28" t="s">
        <v>29</v>
      </c>
      <c r="B28" t="s">
        <v>229</v>
      </c>
      <c r="C28" t="s">
        <v>128</v>
      </c>
      <c r="D28" t="s">
        <v>129</v>
      </c>
      <c r="E28" t="str">
        <f t="shared" si="0"/>
        <v>Favonius quercus</v>
      </c>
      <c r="G28" s="5">
        <v>16</v>
      </c>
      <c r="H28" s="2">
        <v>1</v>
      </c>
      <c r="I28" s="2">
        <v>31</v>
      </c>
      <c r="J28" s="2" t="s">
        <v>388</v>
      </c>
      <c r="K28" s="2" t="s">
        <v>400</v>
      </c>
      <c r="L28" s="2" t="s">
        <v>407</v>
      </c>
      <c r="M28" t="s">
        <v>352</v>
      </c>
      <c r="N28" t="s">
        <v>306</v>
      </c>
    </row>
    <row r="29" spans="1:19" x14ac:dyDescent="0.25">
      <c r="A29" t="s">
        <v>30</v>
      </c>
      <c r="B29" t="s">
        <v>230</v>
      </c>
      <c r="C29" t="s">
        <v>130</v>
      </c>
      <c r="D29" t="s">
        <v>131</v>
      </c>
      <c r="E29" t="str">
        <f t="shared" si="0"/>
        <v>Thecla betulae</v>
      </c>
      <c r="G29" s="5">
        <v>17</v>
      </c>
      <c r="H29" s="2">
        <v>3</v>
      </c>
      <c r="I29" s="2">
        <v>34</v>
      </c>
      <c r="J29" s="2" t="s">
        <v>387</v>
      </c>
      <c r="K29" s="2" t="s">
        <v>400</v>
      </c>
      <c r="L29" s="2" t="s">
        <v>407</v>
      </c>
      <c r="M29" t="s">
        <v>307</v>
      </c>
      <c r="P29" t="s">
        <v>321</v>
      </c>
      <c r="S29" t="s">
        <v>309</v>
      </c>
    </row>
    <row r="30" spans="1:19" x14ac:dyDescent="0.25">
      <c r="A30" t="s">
        <v>31</v>
      </c>
      <c r="B30" t="s">
        <v>231</v>
      </c>
      <c r="C30" t="s">
        <v>132</v>
      </c>
      <c r="D30" t="s">
        <v>133</v>
      </c>
      <c r="E30" t="str">
        <f t="shared" si="0"/>
        <v>Apatura iris</v>
      </c>
      <c r="G30" s="5">
        <v>34</v>
      </c>
      <c r="H30" s="2">
        <v>3</v>
      </c>
      <c r="I30" s="2">
        <v>70</v>
      </c>
      <c r="J30" s="2" t="s">
        <v>388</v>
      </c>
      <c r="K30" s="2" t="s">
        <v>399</v>
      </c>
      <c r="L30" s="2" t="s">
        <v>407</v>
      </c>
      <c r="M30" t="s">
        <v>310</v>
      </c>
    </row>
    <row r="31" spans="1:19" x14ac:dyDescent="0.25">
      <c r="A31" t="s">
        <v>32</v>
      </c>
      <c r="B31" t="s">
        <v>232</v>
      </c>
      <c r="C31" t="s">
        <v>134</v>
      </c>
      <c r="D31" t="s">
        <v>135</v>
      </c>
      <c r="E31" t="str">
        <f t="shared" si="0"/>
        <v>Argynnis paphia</v>
      </c>
      <c r="G31" s="5">
        <v>33</v>
      </c>
      <c r="H31" s="2">
        <v>4</v>
      </c>
      <c r="I31" s="2">
        <v>59</v>
      </c>
      <c r="J31" s="2" t="s">
        <v>388</v>
      </c>
      <c r="K31" s="2" t="s">
        <v>399</v>
      </c>
      <c r="L31" s="2" t="s">
        <v>407</v>
      </c>
      <c r="M31" t="s">
        <v>311</v>
      </c>
    </row>
    <row r="32" spans="1:19" x14ac:dyDescent="0.25">
      <c r="A32" t="s">
        <v>33</v>
      </c>
      <c r="B32" t="s">
        <v>233</v>
      </c>
      <c r="C32" t="s">
        <v>136</v>
      </c>
      <c r="D32" t="s">
        <v>137</v>
      </c>
      <c r="E32" t="str">
        <f t="shared" si="0"/>
        <v>Boloria aquilonaris</v>
      </c>
      <c r="G32" s="5">
        <v>19</v>
      </c>
      <c r="H32" s="2">
        <v>3</v>
      </c>
      <c r="I32" s="2">
        <v>33</v>
      </c>
      <c r="J32" s="2" t="s">
        <v>384</v>
      </c>
      <c r="K32" s="2" t="s">
        <v>399</v>
      </c>
      <c r="L32" s="2" t="s">
        <v>408</v>
      </c>
      <c r="M32" t="s">
        <v>284</v>
      </c>
      <c r="N32" t="s">
        <v>283</v>
      </c>
    </row>
    <row r="33" spans="1:18" x14ac:dyDescent="0.25">
      <c r="A33" t="s">
        <v>34</v>
      </c>
      <c r="B33" t="s">
        <v>234</v>
      </c>
      <c r="C33" t="s">
        <v>136</v>
      </c>
      <c r="D33" t="s">
        <v>138</v>
      </c>
      <c r="E33" t="str">
        <f t="shared" si="0"/>
        <v>Boloria euphrosyne</v>
      </c>
      <c r="G33" s="5">
        <v>21</v>
      </c>
      <c r="H33" s="2">
        <v>3</v>
      </c>
      <c r="I33" s="2">
        <v>38</v>
      </c>
      <c r="J33" s="2" t="s">
        <v>390</v>
      </c>
      <c r="K33" s="2" t="s">
        <v>399</v>
      </c>
      <c r="L33" s="2" t="s">
        <v>408</v>
      </c>
      <c r="M33" t="s">
        <v>311</v>
      </c>
      <c r="N33" t="s">
        <v>300</v>
      </c>
    </row>
    <row r="34" spans="1:18" x14ac:dyDescent="0.25">
      <c r="A34" t="s">
        <v>35</v>
      </c>
      <c r="B34" t="s">
        <v>235</v>
      </c>
      <c r="C34" t="s">
        <v>136</v>
      </c>
      <c r="D34" t="s">
        <v>139</v>
      </c>
      <c r="E34" t="str">
        <f t="shared" si="0"/>
        <v>Boloria selene</v>
      </c>
      <c r="G34" s="5">
        <v>20</v>
      </c>
      <c r="H34" s="2">
        <v>3</v>
      </c>
      <c r="I34" s="2">
        <v>39</v>
      </c>
      <c r="J34" s="2" t="s">
        <v>392</v>
      </c>
      <c r="K34" s="2" t="s">
        <v>399</v>
      </c>
      <c r="L34" s="2" t="s">
        <v>407</v>
      </c>
      <c r="M34" t="s">
        <v>312</v>
      </c>
      <c r="N34" t="s">
        <v>313</v>
      </c>
    </row>
    <row r="35" spans="1:18" x14ac:dyDescent="0.25">
      <c r="A35" t="s">
        <v>36</v>
      </c>
      <c r="B35" t="s">
        <v>236</v>
      </c>
      <c r="C35" t="s">
        <v>140</v>
      </c>
      <c r="D35" t="s">
        <v>141</v>
      </c>
      <c r="E35" t="str">
        <f t="shared" si="0"/>
        <v>Brenthis ino</v>
      </c>
      <c r="G35" s="5">
        <v>20</v>
      </c>
      <c r="H35" s="2">
        <v>2</v>
      </c>
      <c r="I35" s="2">
        <v>38</v>
      </c>
      <c r="J35" s="2" t="s">
        <v>383</v>
      </c>
      <c r="K35" s="2" t="s">
        <v>399</v>
      </c>
      <c r="L35" s="2" t="s">
        <v>407</v>
      </c>
      <c r="M35" t="s">
        <v>314</v>
      </c>
    </row>
    <row r="36" spans="1:18" x14ac:dyDescent="0.25">
      <c r="A36" t="s">
        <v>37</v>
      </c>
      <c r="B36" t="s">
        <v>237</v>
      </c>
      <c r="C36" t="s">
        <v>142</v>
      </c>
      <c r="D36" t="s">
        <v>143</v>
      </c>
      <c r="E36" t="str">
        <f t="shared" si="0"/>
        <v>Fabriciana niobe</v>
      </c>
      <c r="F36" s="4" t="s">
        <v>6</v>
      </c>
      <c r="G36" s="5">
        <v>26</v>
      </c>
      <c r="H36" s="2">
        <v>3</v>
      </c>
      <c r="I36" s="2">
        <v>48</v>
      </c>
      <c r="J36" s="2" t="s">
        <v>388</v>
      </c>
      <c r="K36" s="2" t="s">
        <v>400</v>
      </c>
      <c r="L36" s="2" t="s">
        <v>407</v>
      </c>
      <c r="M36" t="s">
        <v>315</v>
      </c>
    </row>
    <row r="37" spans="1:18" x14ac:dyDescent="0.25">
      <c r="A37" t="s">
        <v>38</v>
      </c>
      <c r="B37" t="s">
        <v>238</v>
      </c>
      <c r="C37" t="s">
        <v>142</v>
      </c>
      <c r="D37" t="s">
        <v>144</v>
      </c>
      <c r="E37" t="str">
        <f t="shared" si="0"/>
        <v>Fabriciana adippe</v>
      </c>
      <c r="G37" s="5">
        <v>28</v>
      </c>
      <c r="H37" s="2">
        <v>4</v>
      </c>
      <c r="I37" s="2">
        <v>55</v>
      </c>
      <c r="J37" s="2" t="s">
        <v>388</v>
      </c>
      <c r="K37" s="2" t="s">
        <v>400</v>
      </c>
      <c r="L37" s="2" t="s">
        <v>407</v>
      </c>
      <c r="M37" t="s">
        <v>311</v>
      </c>
    </row>
    <row r="38" spans="1:18" ht="30" x14ac:dyDescent="0.25">
      <c r="A38" t="s">
        <v>39</v>
      </c>
      <c r="B38" t="s">
        <v>239</v>
      </c>
      <c r="C38" t="s">
        <v>145</v>
      </c>
      <c r="D38" t="s">
        <v>146</v>
      </c>
      <c r="E38" t="str">
        <f t="shared" si="0"/>
        <v>Issoria lathonia</v>
      </c>
      <c r="G38" s="5">
        <v>21</v>
      </c>
      <c r="H38" s="2">
        <v>5</v>
      </c>
      <c r="I38" s="2">
        <v>42</v>
      </c>
      <c r="J38" s="2" t="s">
        <v>386</v>
      </c>
      <c r="K38" s="2" t="s">
        <v>399</v>
      </c>
      <c r="L38" s="2" t="s">
        <v>407</v>
      </c>
      <c r="M38" t="s">
        <v>315</v>
      </c>
      <c r="N38" t="s">
        <v>316</v>
      </c>
    </row>
    <row r="39" spans="1:18" x14ac:dyDescent="0.25">
      <c r="A39" t="s">
        <v>40</v>
      </c>
      <c r="B39" t="s">
        <v>240</v>
      </c>
      <c r="C39" t="s">
        <v>147</v>
      </c>
      <c r="D39" t="s">
        <v>148</v>
      </c>
      <c r="E39" t="str">
        <f t="shared" si="0"/>
        <v>Speyeria aglaja</v>
      </c>
      <c r="G39" s="5">
        <v>25</v>
      </c>
      <c r="H39" s="2">
        <v>3</v>
      </c>
      <c r="I39" s="2">
        <v>52</v>
      </c>
      <c r="J39" s="2" t="s">
        <v>388</v>
      </c>
      <c r="K39" s="2" t="s">
        <v>399</v>
      </c>
      <c r="L39" s="2" t="s">
        <v>407</v>
      </c>
      <c r="M39" t="s">
        <v>311</v>
      </c>
    </row>
    <row r="40" spans="1:18" x14ac:dyDescent="0.25">
      <c r="A40" t="s">
        <v>41</v>
      </c>
      <c r="B40" t="s">
        <v>241</v>
      </c>
      <c r="C40" t="s">
        <v>149</v>
      </c>
      <c r="D40" t="s">
        <v>150</v>
      </c>
      <c r="E40" t="str">
        <f t="shared" si="0"/>
        <v>Limenitis camilla</v>
      </c>
      <c r="F40" s="4" t="s">
        <v>17</v>
      </c>
      <c r="G40" s="5">
        <v>26</v>
      </c>
      <c r="H40" s="2">
        <v>3</v>
      </c>
      <c r="I40" s="2">
        <v>54</v>
      </c>
      <c r="J40" s="2" t="s">
        <v>383</v>
      </c>
      <c r="K40" s="2" t="s">
        <v>399</v>
      </c>
      <c r="L40" s="2" t="s">
        <v>407</v>
      </c>
      <c r="M40" t="s">
        <v>317</v>
      </c>
    </row>
    <row r="41" spans="1:18" x14ac:dyDescent="0.25">
      <c r="A41" t="s">
        <v>42</v>
      </c>
      <c r="B41" t="s">
        <v>242</v>
      </c>
      <c r="C41" t="s">
        <v>149</v>
      </c>
      <c r="D41" t="s">
        <v>151</v>
      </c>
      <c r="E41" t="str">
        <f t="shared" si="0"/>
        <v>Limenitis populi</v>
      </c>
      <c r="G41" s="5">
        <v>35</v>
      </c>
      <c r="H41" s="2">
        <v>3</v>
      </c>
      <c r="I41" s="2">
        <v>80</v>
      </c>
      <c r="J41" s="2" t="s">
        <v>383</v>
      </c>
      <c r="K41" s="2" t="s">
        <v>399</v>
      </c>
      <c r="L41" s="2" t="s">
        <v>407</v>
      </c>
      <c r="M41" t="s">
        <v>318</v>
      </c>
    </row>
    <row r="42" spans="1:18" x14ac:dyDescent="0.25">
      <c r="A42" t="s">
        <v>43</v>
      </c>
      <c r="B42" t="s">
        <v>243</v>
      </c>
      <c r="C42" t="s">
        <v>152</v>
      </c>
      <c r="D42" t="s">
        <v>153</v>
      </c>
      <c r="E42" t="str">
        <f t="shared" si="0"/>
        <v>Aglais io</v>
      </c>
      <c r="G42" s="5">
        <v>28</v>
      </c>
      <c r="H42" s="2">
        <v>6</v>
      </c>
      <c r="I42" s="2">
        <v>60</v>
      </c>
      <c r="J42" s="2" t="s">
        <v>393</v>
      </c>
      <c r="K42" s="2" t="s">
        <v>401</v>
      </c>
      <c r="L42" s="2" t="s">
        <v>407</v>
      </c>
      <c r="M42" t="s">
        <v>319</v>
      </c>
    </row>
    <row r="43" spans="1:18" x14ac:dyDescent="0.25">
      <c r="A43" t="s">
        <v>44</v>
      </c>
      <c r="B43" t="s">
        <v>244</v>
      </c>
      <c r="C43" t="s">
        <v>152</v>
      </c>
      <c r="D43" t="s">
        <v>154</v>
      </c>
      <c r="E43" t="str">
        <f t="shared" si="0"/>
        <v>Aglais urticae</v>
      </c>
      <c r="G43" s="5">
        <v>23</v>
      </c>
      <c r="H43" s="2">
        <v>6</v>
      </c>
      <c r="I43" s="2">
        <v>46</v>
      </c>
      <c r="J43" s="2" t="s">
        <v>393</v>
      </c>
      <c r="K43" s="2" t="s">
        <v>401</v>
      </c>
      <c r="L43" s="2" t="s">
        <v>407</v>
      </c>
      <c r="M43" t="s">
        <v>319</v>
      </c>
    </row>
    <row r="44" spans="1:18" x14ac:dyDescent="0.25">
      <c r="A44" t="s">
        <v>45</v>
      </c>
      <c r="B44" t="s">
        <v>245</v>
      </c>
      <c r="C44" t="s">
        <v>155</v>
      </c>
      <c r="D44" t="s">
        <v>156</v>
      </c>
      <c r="E44" t="str">
        <f t="shared" si="0"/>
        <v>Araschnia levana</v>
      </c>
      <c r="G44" s="5">
        <v>17</v>
      </c>
      <c r="H44" s="2">
        <v>5</v>
      </c>
      <c r="I44" s="2">
        <v>37</v>
      </c>
      <c r="J44" s="2" t="s">
        <v>396</v>
      </c>
      <c r="K44" s="2" t="s">
        <v>398</v>
      </c>
      <c r="L44" s="2" t="s">
        <v>407</v>
      </c>
      <c r="M44" t="s">
        <v>319</v>
      </c>
    </row>
    <row r="45" spans="1:18" ht="30" x14ac:dyDescent="0.25">
      <c r="A45" t="s">
        <v>46</v>
      </c>
      <c r="B45" t="s">
        <v>246</v>
      </c>
      <c r="C45" t="s">
        <v>157</v>
      </c>
      <c r="D45" t="s">
        <v>158</v>
      </c>
      <c r="E45" t="str">
        <f t="shared" si="0"/>
        <v>Nymphalis antiopa</v>
      </c>
      <c r="G45" s="5">
        <v>33</v>
      </c>
      <c r="H45" s="2">
        <v>6</v>
      </c>
      <c r="I45" s="2">
        <v>69</v>
      </c>
      <c r="J45" s="2" t="s">
        <v>394</v>
      </c>
      <c r="K45" s="2" t="s">
        <v>401</v>
      </c>
      <c r="L45" s="2" t="s">
        <v>408</v>
      </c>
      <c r="M45" t="s">
        <v>320</v>
      </c>
      <c r="N45" t="s">
        <v>310</v>
      </c>
    </row>
    <row r="46" spans="1:18" ht="30" x14ac:dyDescent="0.25">
      <c r="A46" t="s">
        <v>47</v>
      </c>
      <c r="B46" t="s">
        <v>247</v>
      </c>
      <c r="C46" t="s">
        <v>157</v>
      </c>
      <c r="D46" t="s">
        <v>159</v>
      </c>
      <c r="E46" t="str">
        <f t="shared" si="0"/>
        <v>Nymphalis polychloros</v>
      </c>
      <c r="G46" s="5">
        <v>30</v>
      </c>
      <c r="H46" s="2">
        <v>6</v>
      </c>
      <c r="I46" s="2">
        <v>61</v>
      </c>
      <c r="J46" s="2" t="s">
        <v>395</v>
      </c>
      <c r="K46" s="2" t="s">
        <v>401</v>
      </c>
      <c r="L46" s="2" t="s">
        <v>408</v>
      </c>
      <c r="M46" t="s">
        <v>308</v>
      </c>
      <c r="N46" t="s">
        <v>310</v>
      </c>
      <c r="O46" t="s">
        <v>318</v>
      </c>
      <c r="P46" t="s">
        <v>321</v>
      </c>
    </row>
    <row r="47" spans="1:18" ht="30" x14ac:dyDescent="0.25">
      <c r="A47" t="s">
        <v>48</v>
      </c>
      <c r="B47" t="s">
        <v>248</v>
      </c>
      <c r="C47" t="s">
        <v>157</v>
      </c>
      <c r="D47" t="s">
        <v>160</v>
      </c>
      <c r="E47" t="str">
        <f t="shared" si="0"/>
        <v>Nymphalis xanthomelas</v>
      </c>
      <c r="G47" s="15"/>
      <c r="H47" s="15"/>
      <c r="I47" s="4">
        <v>65</v>
      </c>
      <c r="J47" s="2" t="s">
        <v>395</v>
      </c>
      <c r="K47" s="2" t="s">
        <v>401</v>
      </c>
      <c r="L47" s="2" t="s">
        <v>407</v>
      </c>
      <c r="M47" t="s">
        <v>310</v>
      </c>
    </row>
    <row r="48" spans="1:18" ht="30" x14ac:dyDescent="0.25">
      <c r="A48" t="s">
        <v>49</v>
      </c>
      <c r="B48" t="s">
        <v>249</v>
      </c>
      <c r="C48" t="s">
        <v>161</v>
      </c>
      <c r="D48" t="s">
        <v>162</v>
      </c>
      <c r="E48" t="str">
        <f t="shared" si="0"/>
        <v>Polygonia c-album</v>
      </c>
      <c r="G48" s="5">
        <v>22</v>
      </c>
      <c r="H48" s="2">
        <v>6</v>
      </c>
      <c r="I48" s="2">
        <v>45</v>
      </c>
      <c r="J48" s="2" t="s">
        <v>395</v>
      </c>
      <c r="K48" s="2" t="s">
        <v>401</v>
      </c>
      <c r="L48" s="2" t="s">
        <v>408</v>
      </c>
      <c r="M48" t="s">
        <v>322</v>
      </c>
      <c r="N48" t="s">
        <v>323</v>
      </c>
      <c r="O48" t="s">
        <v>319</v>
      </c>
      <c r="P48" t="s">
        <v>345</v>
      </c>
      <c r="Q48" t="s">
        <v>308</v>
      </c>
      <c r="R48" t="s">
        <v>346</v>
      </c>
    </row>
    <row r="49" spans="1:15" x14ac:dyDescent="0.25">
      <c r="A49" t="s">
        <v>50</v>
      </c>
      <c r="B49" t="s">
        <v>250</v>
      </c>
      <c r="C49" t="s">
        <v>163</v>
      </c>
      <c r="D49" t="s">
        <v>164</v>
      </c>
      <c r="E49" t="str">
        <f t="shared" si="0"/>
        <v>Vanessa atalanta</v>
      </c>
      <c r="G49" s="5">
        <v>29</v>
      </c>
      <c r="H49" s="2">
        <v>9</v>
      </c>
      <c r="I49" s="2">
        <v>58</v>
      </c>
      <c r="J49" s="2" t="s">
        <v>391</v>
      </c>
      <c r="K49" s="2" t="s">
        <v>402</v>
      </c>
      <c r="L49" s="2" t="s">
        <v>407</v>
      </c>
      <c r="M49" t="s">
        <v>319</v>
      </c>
    </row>
    <row r="50" spans="1:15" x14ac:dyDescent="0.25">
      <c r="A50" t="s">
        <v>51</v>
      </c>
      <c r="B50" t="s">
        <v>251</v>
      </c>
      <c r="C50" t="s">
        <v>163</v>
      </c>
      <c r="D50" t="s">
        <v>165</v>
      </c>
      <c r="E50" t="str">
        <f t="shared" si="0"/>
        <v>Vanessa cardui</v>
      </c>
      <c r="G50" s="5">
        <v>28</v>
      </c>
      <c r="H50" s="2">
        <v>8</v>
      </c>
      <c r="I50" s="2">
        <v>56</v>
      </c>
      <c r="J50" s="2" t="s">
        <v>391</v>
      </c>
      <c r="K50" s="2" t="s">
        <v>402</v>
      </c>
      <c r="L50" s="2" t="s">
        <v>408</v>
      </c>
      <c r="M50" t="s">
        <v>324</v>
      </c>
      <c r="N50" t="s">
        <v>325</v>
      </c>
    </row>
    <row r="51" spans="1:15" x14ac:dyDescent="0.25">
      <c r="A51" t="s">
        <v>52</v>
      </c>
      <c r="B51" t="s">
        <v>252</v>
      </c>
      <c r="C51" t="s">
        <v>166</v>
      </c>
      <c r="D51" t="s">
        <v>167</v>
      </c>
      <c r="E51" t="str">
        <f t="shared" si="0"/>
        <v>Melitaea athalia</v>
      </c>
      <c r="G51" s="5">
        <v>19</v>
      </c>
      <c r="H51" s="2">
        <v>3</v>
      </c>
      <c r="I51" s="2">
        <v>37</v>
      </c>
      <c r="J51" s="2" t="s">
        <v>384</v>
      </c>
      <c r="K51" s="2" t="s">
        <v>399</v>
      </c>
      <c r="L51" s="2" t="s">
        <v>408</v>
      </c>
      <c r="M51" t="s">
        <v>326</v>
      </c>
      <c r="N51" t="s">
        <v>327</v>
      </c>
      <c r="O51" t="s">
        <v>328</v>
      </c>
    </row>
    <row r="52" spans="1:15" x14ac:dyDescent="0.25">
      <c r="A52" t="s">
        <v>53</v>
      </c>
      <c r="B52" t="s">
        <v>253</v>
      </c>
      <c r="C52" t="s">
        <v>166</v>
      </c>
      <c r="D52" t="s">
        <v>168</v>
      </c>
      <c r="E52" t="str">
        <f t="shared" si="0"/>
        <v>Melitaea cinxia</v>
      </c>
      <c r="F52" s="4" t="s">
        <v>1</v>
      </c>
      <c r="G52" s="5">
        <v>19</v>
      </c>
      <c r="H52" s="2">
        <v>3</v>
      </c>
      <c r="I52" s="2">
        <v>42</v>
      </c>
      <c r="J52" s="2" t="s">
        <v>390</v>
      </c>
      <c r="K52" s="2" t="s">
        <v>399</v>
      </c>
      <c r="L52" s="2" t="s">
        <v>408</v>
      </c>
      <c r="M52" t="s">
        <v>329</v>
      </c>
      <c r="N52" t="s">
        <v>328</v>
      </c>
    </row>
    <row r="53" spans="1:15" x14ac:dyDescent="0.25">
      <c r="A53" t="s">
        <v>54</v>
      </c>
      <c r="B53" t="s">
        <v>254</v>
      </c>
      <c r="C53" t="s">
        <v>166</v>
      </c>
      <c r="D53" t="s">
        <v>169</v>
      </c>
      <c r="E53" t="str">
        <f t="shared" si="0"/>
        <v>Melitaea diamina</v>
      </c>
      <c r="F53" s="4" t="s">
        <v>1</v>
      </c>
      <c r="G53" s="5">
        <v>18</v>
      </c>
      <c r="H53" s="2">
        <v>1</v>
      </c>
      <c r="I53" s="2">
        <v>39</v>
      </c>
      <c r="J53" s="2" t="s">
        <v>390</v>
      </c>
      <c r="K53" s="2" t="s">
        <v>399</v>
      </c>
      <c r="L53" s="2" t="s">
        <v>407</v>
      </c>
      <c r="M53" t="s">
        <v>330</v>
      </c>
      <c r="N53" t="s">
        <v>331</v>
      </c>
    </row>
    <row r="54" spans="1:15" x14ac:dyDescent="0.25">
      <c r="A54" t="s">
        <v>55</v>
      </c>
      <c r="B54" t="s">
        <v>255</v>
      </c>
      <c r="C54" t="s">
        <v>170</v>
      </c>
      <c r="D54" t="s">
        <v>171</v>
      </c>
      <c r="E54" t="str">
        <f t="shared" si="0"/>
        <v>Coenonympha arcania</v>
      </c>
      <c r="G54" s="5">
        <v>18</v>
      </c>
      <c r="H54" s="2">
        <v>3</v>
      </c>
      <c r="I54" s="2">
        <v>28</v>
      </c>
      <c r="J54" s="2" t="s">
        <v>384</v>
      </c>
      <c r="K54" s="2" t="s">
        <v>399</v>
      </c>
      <c r="L54" s="2" t="s">
        <v>408</v>
      </c>
      <c r="M54" t="s">
        <v>83</v>
      </c>
    </row>
    <row r="55" spans="1:15" x14ac:dyDescent="0.25">
      <c r="A55" t="s">
        <v>56</v>
      </c>
      <c r="B55" t="s">
        <v>256</v>
      </c>
      <c r="C55" t="s">
        <v>170</v>
      </c>
      <c r="D55" t="s">
        <v>172</v>
      </c>
      <c r="E55" t="str">
        <f t="shared" si="0"/>
        <v>Coenonympha pamphilus</v>
      </c>
      <c r="G55" s="5">
        <v>15</v>
      </c>
      <c r="H55" s="2">
        <v>3</v>
      </c>
      <c r="I55" s="2">
        <v>31</v>
      </c>
      <c r="J55" s="2" t="s">
        <v>392</v>
      </c>
      <c r="K55" s="2" t="s">
        <v>399</v>
      </c>
      <c r="L55" s="2" t="s">
        <v>408</v>
      </c>
      <c r="M55" t="s">
        <v>332</v>
      </c>
      <c r="N55" t="s">
        <v>83</v>
      </c>
    </row>
    <row r="56" spans="1:15" x14ac:dyDescent="0.25">
      <c r="A56" t="s">
        <v>57</v>
      </c>
      <c r="B56" t="s">
        <v>257</v>
      </c>
      <c r="C56" t="s">
        <v>170</v>
      </c>
      <c r="D56" t="s">
        <v>173</v>
      </c>
      <c r="E56" t="str">
        <f t="shared" si="0"/>
        <v>Coenonympha tullia</v>
      </c>
      <c r="G56" s="5">
        <v>19</v>
      </c>
      <c r="H56" s="2">
        <v>2</v>
      </c>
      <c r="I56" s="2">
        <v>32</v>
      </c>
      <c r="J56" s="2" t="s">
        <v>383</v>
      </c>
      <c r="K56" s="2" t="s">
        <v>399</v>
      </c>
      <c r="L56" s="2" t="s">
        <v>408</v>
      </c>
      <c r="M56" t="s">
        <v>333</v>
      </c>
      <c r="N56" t="s">
        <v>83</v>
      </c>
    </row>
    <row r="57" spans="1:15" x14ac:dyDescent="0.25">
      <c r="A57" t="s">
        <v>58</v>
      </c>
      <c r="B57" t="s">
        <v>258</v>
      </c>
      <c r="C57" t="s">
        <v>174</v>
      </c>
      <c r="D57" t="s">
        <v>175</v>
      </c>
      <c r="E57" t="str">
        <f t="shared" si="0"/>
        <v>Lasiommata maera</v>
      </c>
      <c r="G57" s="5">
        <v>24</v>
      </c>
      <c r="H57" s="2">
        <v>3</v>
      </c>
      <c r="I57" s="2">
        <v>47</v>
      </c>
      <c r="J57" s="2" t="s">
        <v>384</v>
      </c>
      <c r="K57" s="2" t="s">
        <v>399</v>
      </c>
      <c r="L57" s="2" t="s">
        <v>408</v>
      </c>
      <c r="M57" t="s">
        <v>83</v>
      </c>
    </row>
    <row r="58" spans="1:15" x14ac:dyDescent="0.25">
      <c r="A58" t="s">
        <v>59</v>
      </c>
      <c r="B58" t="s">
        <v>259</v>
      </c>
      <c r="C58" t="s">
        <v>174</v>
      </c>
      <c r="D58" t="s">
        <v>176</v>
      </c>
      <c r="E58" t="str">
        <f t="shared" si="0"/>
        <v>Lasiommata megera</v>
      </c>
      <c r="G58" s="5">
        <v>22</v>
      </c>
      <c r="H58" s="2">
        <v>4</v>
      </c>
      <c r="I58" s="2">
        <v>39</v>
      </c>
      <c r="J58" s="2" t="s">
        <v>392</v>
      </c>
      <c r="K58" s="2" t="s">
        <v>399</v>
      </c>
      <c r="L58" s="2" t="s">
        <v>408</v>
      </c>
      <c r="M58" t="s">
        <v>83</v>
      </c>
    </row>
    <row r="59" spans="1:15" x14ac:dyDescent="0.25">
      <c r="A59" t="s">
        <v>60</v>
      </c>
      <c r="B59" t="s">
        <v>260</v>
      </c>
      <c r="C59" t="s">
        <v>177</v>
      </c>
      <c r="D59" t="s">
        <v>178</v>
      </c>
      <c r="E59" t="str">
        <f t="shared" si="0"/>
        <v>Pararge aegeria</v>
      </c>
      <c r="G59" s="5">
        <v>21</v>
      </c>
      <c r="H59" s="2">
        <v>4</v>
      </c>
      <c r="I59" s="2">
        <v>40</v>
      </c>
      <c r="J59" s="2" t="s">
        <v>392</v>
      </c>
      <c r="K59" s="2" t="s">
        <v>399</v>
      </c>
      <c r="L59" s="2" t="s">
        <v>408</v>
      </c>
      <c r="M59" t="s">
        <v>83</v>
      </c>
    </row>
    <row r="60" spans="1:15" x14ac:dyDescent="0.25">
      <c r="A60" t="s">
        <v>61</v>
      </c>
      <c r="B60" t="s">
        <v>261</v>
      </c>
      <c r="C60" t="s">
        <v>179</v>
      </c>
      <c r="D60" t="s">
        <v>180</v>
      </c>
      <c r="E60" t="str">
        <f t="shared" si="0"/>
        <v>Erebia ligea</v>
      </c>
      <c r="G60" s="5">
        <v>24</v>
      </c>
      <c r="H60" s="2">
        <v>4</v>
      </c>
      <c r="I60" s="2">
        <v>42</v>
      </c>
      <c r="J60" s="2" t="s">
        <v>388</v>
      </c>
      <c r="K60" s="2" t="s">
        <v>403</v>
      </c>
      <c r="L60" s="2" t="s">
        <v>408</v>
      </c>
      <c r="M60" t="s">
        <v>83</v>
      </c>
    </row>
    <row r="61" spans="1:15" x14ac:dyDescent="0.25">
      <c r="A61" t="s">
        <v>62</v>
      </c>
      <c r="B61" t="s">
        <v>262</v>
      </c>
      <c r="C61" t="s">
        <v>181</v>
      </c>
      <c r="D61" t="s">
        <v>182</v>
      </c>
      <c r="E61" t="str">
        <f t="shared" si="0"/>
        <v>Aphantopus hyperantus</v>
      </c>
      <c r="G61" s="5">
        <v>21</v>
      </c>
      <c r="H61" s="2">
        <v>3</v>
      </c>
      <c r="I61" s="2">
        <v>35</v>
      </c>
      <c r="J61" s="2" t="s">
        <v>383</v>
      </c>
      <c r="K61" s="2" t="s">
        <v>399</v>
      </c>
      <c r="L61" s="2" t="s">
        <v>408</v>
      </c>
      <c r="M61" t="s">
        <v>83</v>
      </c>
    </row>
    <row r="62" spans="1:15" x14ac:dyDescent="0.25">
      <c r="A62" t="s">
        <v>63</v>
      </c>
      <c r="B62" t="s">
        <v>263</v>
      </c>
      <c r="C62" t="s">
        <v>183</v>
      </c>
      <c r="D62" t="s">
        <v>184</v>
      </c>
      <c r="E62" t="str">
        <f t="shared" si="0"/>
        <v>Maniola jurtina</v>
      </c>
      <c r="G62" s="5">
        <v>25</v>
      </c>
      <c r="H62" s="2">
        <v>4</v>
      </c>
      <c r="I62" s="2">
        <v>43</v>
      </c>
      <c r="J62" s="2" t="s">
        <v>383</v>
      </c>
      <c r="K62" s="2" t="s">
        <v>399</v>
      </c>
      <c r="L62" s="2" t="s">
        <v>408</v>
      </c>
      <c r="M62" t="s">
        <v>83</v>
      </c>
    </row>
    <row r="63" spans="1:15" x14ac:dyDescent="0.25">
      <c r="A63" t="s">
        <v>64</v>
      </c>
      <c r="B63" t="s">
        <v>264</v>
      </c>
      <c r="C63" t="s">
        <v>185</v>
      </c>
      <c r="D63" t="s">
        <v>186</v>
      </c>
      <c r="E63" t="str">
        <f t="shared" si="0"/>
        <v>Hipparchia semele</v>
      </c>
      <c r="G63" s="5">
        <v>26</v>
      </c>
      <c r="H63" s="2">
        <v>4</v>
      </c>
      <c r="I63" s="2">
        <v>50</v>
      </c>
      <c r="J63" s="2" t="s">
        <v>388</v>
      </c>
      <c r="K63" s="2" t="s">
        <v>399</v>
      </c>
      <c r="L63" s="2" t="s">
        <v>408</v>
      </c>
      <c r="M63" t="s">
        <v>83</v>
      </c>
    </row>
    <row r="64" spans="1:15" x14ac:dyDescent="0.25">
      <c r="A64" t="s">
        <v>65</v>
      </c>
      <c r="B64" t="s">
        <v>265</v>
      </c>
      <c r="C64" t="s">
        <v>187</v>
      </c>
      <c r="D64" t="s">
        <v>188</v>
      </c>
      <c r="E64" t="str">
        <f t="shared" si="0"/>
        <v>Papilio machaon</v>
      </c>
      <c r="G64" s="5">
        <v>37</v>
      </c>
      <c r="H64" s="2">
        <v>5</v>
      </c>
      <c r="I64" s="2">
        <v>81</v>
      </c>
      <c r="J64" s="2" t="s">
        <v>390</v>
      </c>
      <c r="K64" s="2" t="s">
        <v>398</v>
      </c>
      <c r="L64" s="2" t="s">
        <v>407</v>
      </c>
      <c r="M64" t="s">
        <v>334</v>
      </c>
    </row>
    <row r="65" spans="1:19" x14ac:dyDescent="0.25">
      <c r="A65" t="s">
        <v>66</v>
      </c>
      <c r="B65" t="s">
        <v>266</v>
      </c>
      <c r="C65" t="s">
        <v>189</v>
      </c>
      <c r="D65" t="s">
        <v>190</v>
      </c>
      <c r="E65" t="str">
        <f t="shared" si="0"/>
        <v>Colias palaeno</v>
      </c>
      <c r="G65" s="5">
        <v>24</v>
      </c>
      <c r="H65" s="2">
        <v>4</v>
      </c>
      <c r="I65" s="2">
        <v>49</v>
      </c>
      <c r="J65" s="2" t="s">
        <v>384</v>
      </c>
      <c r="K65" s="2" t="s">
        <v>400</v>
      </c>
      <c r="L65" s="2" t="s">
        <v>407</v>
      </c>
      <c r="M65" t="s">
        <v>300</v>
      </c>
    </row>
    <row r="66" spans="1:19" x14ac:dyDescent="0.25">
      <c r="A66" t="s">
        <v>67</v>
      </c>
      <c r="B66" t="s">
        <v>267</v>
      </c>
      <c r="C66" t="s">
        <v>191</v>
      </c>
      <c r="D66" t="s">
        <v>192</v>
      </c>
      <c r="E66" t="str">
        <f t="shared" si="0"/>
        <v>Gonepteryx rhamni</v>
      </c>
      <c r="G66" s="5">
        <v>28</v>
      </c>
      <c r="H66" s="2">
        <v>6</v>
      </c>
      <c r="I66" s="2">
        <v>57</v>
      </c>
      <c r="J66" s="2" t="s">
        <v>393</v>
      </c>
      <c r="K66" s="4" t="s">
        <v>401</v>
      </c>
      <c r="L66" s="4" t="s">
        <v>408</v>
      </c>
      <c r="M66" t="s">
        <v>289</v>
      </c>
      <c r="N66" t="s">
        <v>290</v>
      </c>
    </row>
    <row r="67" spans="1:19" x14ac:dyDescent="0.25">
      <c r="A67" t="s">
        <v>404</v>
      </c>
      <c r="B67" t="s">
        <v>405</v>
      </c>
      <c r="C67" t="s">
        <v>193</v>
      </c>
      <c r="D67" t="s">
        <v>406</v>
      </c>
      <c r="E67" t="str">
        <f t="shared" ref="E67:E78" si="1">C67&amp;" "&amp;D67</f>
        <v>Leptidea juvernica</v>
      </c>
      <c r="G67" s="5"/>
      <c r="H67" s="2"/>
      <c r="I67" s="2">
        <v>40</v>
      </c>
      <c r="J67" s="2"/>
      <c r="K67" s="4" t="s">
        <v>398</v>
      </c>
      <c r="L67" s="4" t="s">
        <v>407</v>
      </c>
      <c r="M67" t="s">
        <v>302</v>
      </c>
    </row>
    <row r="68" spans="1:19" x14ac:dyDescent="0.25">
      <c r="A68" t="s">
        <v>68</v>
      </c>
      <c r="B68" t="s">
        <v>268</v>
      </c>
      <c r="C68" t="s">
        <v>193</v>
      </c>
      <c r="D68" t="s">
        <v>194</v>
      </c>
      <c r="E68" t="str">
        <f t="shared" si="1"/>
        <v>Leptidea sinapis</v>
      </c>
      <c r="G68" s="5">
        <v>20</v>
      </c>
      <c r="H68" s="2">
        <v>4</v>
      </c>
      <c r="I68" s="2">
        <v>40</v>
      </c>
      <c r="J68" s="2" t="s">
        <v>392</v>
      </c>
      <c r="K68" s="2" t="s">
        <v>398</v>
      </c>
      <c r="L68" s="2" t="s">
        <v>407</v>
      </c>
      <c r="M68" t="s">
        <v>335</v>
      </c>
    </row>
    <row r="69" spans="1:19" x14ac:dyDescent="0.25">
      <c r="A69" t="s">
        <v>69</v>
      </c>
      <c r="B69" t="s">
        <v>269</v>
      </c>
      <c r="C69" t="s">
        <v>195</v>
      </c>
      <c r="D69" t="s">
        <v>196</v>
      </c>
      <c r="E69" t="str">
        <f t="shared" si="1"/>
        <v>Anthocharis cardamines</v>
      </c>
      <c r="G69" s="5">
        <v>20</v>
      </c>
      <c r="H69" s="2">
        <v>4</v>
      </c>
      <c r="I69" s="2">
        <v>40</v>
      </c>
      <c r="J69" s="2" t="s">
        <v>389</v>
      </c>
      <c r="K69" s="2" t="s">
        <v>398</v>
      </c>
      <c r="L69" s="2" t="s">
        <v>408</v>
      </c>
      <c r="M69" t="s">
        <v>336</v>
      </c>
      <c r="N69" t="s">
        <v>337</v>
      </c>
      <c r="O69" t="s">
        <v>338</v>
      </c>
      <c r="P69" t="s">
        <v>339</v>
      </c>
    </row>
    <row r="70" spans="1:19" x14ac:dyDescent="0.25">
      <c r="A70" t="s">
        <v>70</v>
      </c>
      <c r="B70" t="s">
        <v>270</v>
      </c>
      <c r="C70" t="s">
        <v>197</v>
      </c>
      <c r="D70" t="s">
        <v>198</v>
      </c>
      <c r="E70" t="str">
        <f t="shared" si="1"/>
        <v>Aporia crataegi</v>
      </c>
      <c r="G70" s="5">
        <v>31</v>
      </c>
      <c r="H70" s="2">
        <v>5</v>
      </c>
      <c r="I70" s="2">
        <v>68</v>
      </c>
      <c r="J70" s="2" t="s">
        <v>384</v>
      </c>
      <c r="K70" s="2" t="s">
        <v>399</v>
      </c>
      <c r="L70" s="2" t="s">
        <v>408</v>
      </c>
      <c r="M70" t="s">
        <v>340</v>
      </c>
      <c r="N70" t="s">
        <v>341</v>
      </c>
      <c r="O70" t="s">
        <v>307</v>
      </c>
    </row>
    <row r="71" spans="1:19" x14ac:dyDescent="0.25">
      <c r="A71" t="s">
        <v>71</v>
      </c>
      <c r="B71" t="s">
        <v>271</v>
      </c>
      <c r="C71" t="s">
        <v>199</v>
      </c>
      <c r="D71" t="s">
        <v>200</v>
      </c>
      <c r="E71" t="str">
        <f t="shared" si="1"/>
        <v>Pieris brassicae</v>
      </c>
      <c r="G71" s="5">
        <v>30</v>
      </c>
      <c r="H71" s="2">
        <v>7</v>
      </c>
      <c r="I71" s="2">
        <v>58</v>
      </c>
      <c r="J71" s="2" t="s">
        <v>391</v>
      </c>
      <c r="K71" s="2" t="s">
        <v>398</v>
      </c>
      <c r="L71" s="2" t="s">
        <v>408</v>
      </c>
      <c r="M71" t="s">
        <v>84</v>
      </c>
    </row>
    <row r="72" spans="1:19" x14ac:dyDescent="0.25">
      <c r="A72" t="s">
        <v>72</v>
      </c>
      <c r="B72" t="s">
        <v>272</v>
      </c>
      <c r="C72" t="s">
        <v>199</v>
      </c>
      <c r="D72" t="s">
        <v>201</v>
      </c>
      <c r="E72" t="str">
        <f t="shared" si="1"/>
        <v>Pieris napi</v>
      </c>
      <c r="G72" s="5">
        <v>22</v>
      </c>
      <c r="H72" s="2">
        <v>5</v>
      </c>
      <c r="I72" s="4">
        <v>42</v>
      </c>
      <c r="J72" s="4" t="s">
        <v>391</v>
      </c>
      <c r="K72" s="4" t="s">
        <v>398</v>
      </c>
      <c r="L72" s="4" t="s">
        <v>408</v>
      </c>
      <c r="M72" t="s">
        <v>84</v>
      </c>
    </row>
    <row r="73" spans="1:19" x14ac:dyDescent="0.25">
      <c r="A73" t="s">
        <v>73</v>
      </c>
      <c r="B73" t="s">
        <v>273</v>
      </c>
      <c r="C73" t="s">
        <v>199</v>
      </c>
      <c r="D73" t="s">
        <v>202</v>
      </c>
      <c r="E73" t="str">
        <f t="shared" si="1"/>
        <v>Pieris rapae</v>
      </c>
      <c r="G73" s="5">
        <v>25</v>
      </c>
      <c r="H73" s="2">
        <v>6</v>
      </c>
      <c r="I73" s="2">
        <v>48</v>
      </c>
      <c r="J73" s="2" t="s">
        <v>391</v>
      </c>
      <c r="K73" s="2" t="s">
        <v>398</v>
      </c>
      <c r="L73" s="2" t="s">
        <v>408</v>
      </c>
      <c r="M73" t="s">
        <v>342</v>
      </c>
    </row>
    <row r="74" spans="1:19" x14ac:dyDescent="0.25">
      <c r="C74" t="s">
        <v>373</v>
      </c>
      <c r="D74" t="s">
        <v>368</v>
      </c>
      <c r="E74" t="str">
        <f t="shared" si="1"/>
        <v>Zygaena filipendulae</v>
      </c>
      <c r="F74" s="4" t="s">
        <v>1</v>
      </c>
      <c r="I74" s="4">
        <v>34</v>
      </c>
      <c r="J74" s="4" t="s">
        <v>383</v>
      </c>
      <c r="K74" s="4" t="s">
        <v>399</v>
      </c>
      <c r="L74" s="4" t="s">
        <v>407</v>
      </c>
      <c r="M74" t="s">
        <v>276</v>
      </c>
      <c r="S74" t="s">
        <v>377</v>
      </c>
    </row>
    <row r="75" spans="1:19" x14ac:dyDescent="0.25">
      <c r="C75" t="s">
        <v>373</v>
      </c>
      <c r="D75" t="s">
        <v>369</v>
      </c>
      <c r="E75" t="str">
        <f t="shared" si="1"/>
        <v>Zygaena lonicerae</v>
      </c>
      <c r="F75" s="4" t="s">
        <v>1</v>
      </c>
      <c r="I75" s="4">
        <v>36</v>
      </c>
      <c r="J75" s="4" t="s">
        <v>383</v>
      </c>
      <c r="K75" s="4" t="s">
        <v>399</v>
      </c>
      <c r="L75" s="4" t="s">
        <v>408</v>
      </c>
      <c r="M75" t="s">
        <v>375</v>
      </c>
      <c r="N75" t="s">
        <v>294</v>
      </c>
      <c r="O75" t="s">
        <v>376</v>
      </c>
      <c r="S75" t="s">
        <v>377</v>
      </c>
    </row>
    <row r="76" spans="1:19" x14ac:dyDescent="0.25">
      <c r="C76" t="s">
        <v>373</v>
      </c>
      <c r="D76" t="s">
        <v>370</v>
      </c>
      <c r="E76" t="str">
        <f t="shared" si="1"/>
        <v>Zygaena viciae</v>
      </c>
      <c r="F76" s="4" t="s">
        <v>1</v>
      </c>
      <c r="I76" s="4">
        <v>27</v>
      </c>
      <c r="J76" s="4" t="s">
        <v>383</v>
      </c>
      <c r="K76" s="4" t="s">
        <v>399</v>
      </c>
      <c r="L76" s="4" t="s">
        <v>408</v>
      </c>
      <c r="M76" t="s">
        <v>276</v>
      </c>
      <c r="N76" t="s">
        <v>379</v>
      </c>
      <c r="O76" t="s">
        <v>380</v>
      </c>
      <c r="P76" t="s">
        <v>381</v>
      </c>
      <c r="S76" t="s">
        <v>377</v>
      </c>
    </row>
    <row r="77" spans="1:19" x14ac:dyDescent="0.25">
      <c r="C77" t="s">
        <v>373</v>
      </c>
      <c r="D77" t="s">
        <v>371</v>
      </c>
      <c r="E77" t="str">
        <f t="shared" si="1"/>
        <v>Zygaena minos</v>
      </c>
      <c r="F77" s="4" t="s">
        <v>1</v>
      </c>
      <c r="I77" s="4">
        <v>34</v>
      </c>
      <c r="J77" s="4" t="s">
        <v>384</v>
      </c>
      <c r="K77" s="4" t="s">
        <v>399</v>
      </c>
      <c r="L77" s="4" t="s">
        <v>407</v>
      </c>
      <c r="M77" t="s">
        <v>378</v>
      </c>
      <c r="S77" t="s">
        <v>377</v>
      </c>
    </row>
    <row r="78" spans="1:19" x14ac:dyDescent="0.25">
      <c r="C78" t="s">
        <v>374</v>
      </c>
      <c r="D78" t="s">
        <v>372</v>
      </c>
      <c r="E78" t="str">
        <f t="shared" si="1"/>
        <v>Adscita statices</v>
      </c>
      <c r="F78" s="4" t="s">
        <v>1</v>
      </c>
      <c r="I78" s="4">
        <v>28</v>
      </c>
      <c r="J78" s="4" t="s">
        <v>384</v>
      </c>
      <c r="K78" s="4" t="s">
        <v>399</v>
      </c>
      <c r="L78" s="4" t="s">
        <v>407</v>
      </c>
      <c r="M78" t="s">
        <v>281</v>
      </c>
      <c r="N78" t="s">
        <v>282</v>
      </c>
      <c r="S78" t="s">
        <v>377</v>
      </c>
    </row>
  </sheetData>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3"/>
  <sheetViews>
    <sheetView workbookViewId="0">
      <selection activeCell="I28" sqref="I28"/>
    </sheetView>
  </sheetViews>
  <sheetFormatPr defaultRowHeight="15" x14ac:dyDescent="0.25"/>
  <sheetData>
    <row r="1" spans="1:1" x14ac:dyDescent="0.25">
      <c r="A1" s="6" t="s">
        <v>353</v>
      </c>
    </row>
    <row r="2" spans="1:1" x14ac:dyDescent="0.25">
      <c r="A2" s="8" t="s">
        <v>354</v>
      </c>
    </row>
    <row r="3" spans="1:1" x14ac:dyDescent="0.25">
      <c r="A3" s="9" t="s">
        <v>355</v>
      </c>
    </row>
    <row r="4" spans="1:1" x14ac:dyDescent="0.25">
      <c r="A4" s="9" t="s">
        <v>356</v>
      </c>
    </row>
    <row r="5" spans="1:1" x14ac:dyDescent="0.25">
      <c r="A5" s="7"/>
    </row>
    <row r="6" spans="1:1" x14ac:dyDescent="0.25">
      <c r="A6" s="10" t="s">
        <v>357</v>
      </c>
    </row>
    <row r="7" spans="1:1" x14ac:dyDescent="0.25">
      <c r="A7" s="7"/>
    </row>
    <row r="8" spans="1:1" x14ac:dyDescent="0.25">
      <c r="A8" s="8" t="s">
        <v>358</v>
      </c>
    </row>
    <row r="9" spans="1:1" x14ac:dyDescent="0.25">
      <c r="A9" s="11" t="s">
        <v>359</v>
      </c>
    </row>
    <row r="10" spans="1:1" x14ac:dyDescent="0.25">
      <c r="A10" s="7"/>
    </row>
    <row r="11" spans="1:1" x14ac:dyDescent="0.25">
      <c r="A11" s="8" t="s">
        <v>360</v>
      </c>
    </row>
    <row r="12" spans="1:1" x14ac:dyDescent="0.25">
      <c r="A12" s="12" t="s">
        <v>361</v>
      </c>
    </row>
    <row r="13" spans="1:1" x14ac:dyDescent="0.25">
      <c r="A13" s="13" t="s">
        <v>362</v>
      </c>
    </row>
    <row r="14" spans="1:1" x14ac:dyDescent="0.25">
      <c r="A14" s="7"/>
    </row>
    <row r="15" spans="1:1" x14ac:dyDescent="0.25">
      <c r="A15" s="8" t="s">
        <v>363</v>
      </c>
    </row>
    <row r="16" spans="1:1" x14ac:dyDescent="0.25">
      <c r="A16" s="10" t="s">
        <v>362</v>
      </c>
    </row>
    <row r="17" spans="1:1" x14ac:dyDescent="0.25">
      <c r="A17" s="7"/>
    </row>
    <row r="18" spans="1:1" x14ac:dyDescent="0.25">
      <c r="A18" s="14" t="s">
        <v>364</v>
      </c>
    </row>
    <row r="19" spans="1:1" x14ac:dyDescent="0.25">
      <c r="A19" s="10" t="s">
        <v>365</v>
      </c>
    </row>
    <row r="20" spans="1:1" x14ac:dyDescent="0.25">
      <c r="A20" s="7"/>
    </row>
    <row r="21" spans="1:1" x14ac:dyDescent="0.25">
      <c r="A21" s="7"/>
    </row>
    <row r="22" spans="1:1" x14ac:dyDescent="0.25">
      <c r="A22" s="14" t="s">
        <v>366</v>
      </c>
    </row>
    <row r="23" spans="1:1" x14ac:dyDescent="0.25">
      <c r="A23" s="10" t="s">
        <v>367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TaxonList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Öckinger</dc:creator>
  <cp:lastModifiedBy>Juliana Daniel Ferreira</cp:lastModifiedBy>
  <dcterms:created xsi:type="dcterms:W3CDTF">2024-02-02T11:15:13Z</dcterms:created>
  <dcterms:modified xsi:type="dcterms:W3CDTF">2026-07-01T12:27:05Z</dcterms:modified>
</cp:coreProperties>
</file>